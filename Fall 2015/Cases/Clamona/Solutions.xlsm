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004" codeName="{00000000-0000-0000-0000-000000000000}"/>
  <workbookPr showInkAnnotation="0" codeName="ThisWorkbook" autoCompressPictures="0"/>
  <bookViews>
    <workbookView xWindow="4580" yWindow="1040" windowWidth="33400" windowHeight="22280" tabRatio="500"/>
  </bookViews>
  <sheets>
    <sheet name="Option 1_NoSolution" sheetId="1" r:id="rId1"/>
    <sheet name="Option 1_Fixed_UB" sheetId="2" r:id="rId2"/>
    <sheet name="Option 1_Fixed_Cost" sheetId="4" r:id="rId3"/>
  </sheets>
  <definedNames>
    <definedName name="solver_adj" localSheetId="2" hidden="1">'Option 1_Fixed_Cost'!$B$17:$AN$17</definedName>
    <definedName name="solver_adj" localSheetId="1" hidden="1">'Option 1_Fixed_UB'!$B$17:$AL$17</definedName>
    <definedName name="solver_adj" localSheetId="0" hidden="1">'Option 1_NoSolution'!$B$17:$AB$17</definedName>
    <definedName name="solver_cvg" localSheetId="2" hidden="1">0.0001</definedName>
    <definedName name="solver_cvg" localSheetId="1" hidden="1">0.0001</definedName>
    <definedName name="solver_cvg" localSheetId="0" hidden="1">0.0001</definedName>
    <definedName name="solver_drv" localSheetId="2" hidden="1">1</definedName>
    <definedName name="solver_drv" localSheetId="1" hidden="1">1</definedName>
    <definedName name="solver_drv" localSheetId="0" hidden="1">1</definedName>
    <definedName name="solver_eng" localSheetId="2" hidden="1">2</definedName>
    <definedName name="solver_eng" localSheetId="1" hidden="1">2</definedName>
    <definedName name="solver_eng" localSheetId="0" hidden="1">2</definedName>
    <definedName name="solver_itr" localSheetId="2" hidden="1">2147483647</definedName>
    <definedName name="solver_itr" localSheetId="1" hidden="1">2147483647</definedName>
    <definedName name="solver_itr" localSheetId="0" hidden="1">2147483647</definedName>
    <definedName name="solver_lhs1" localSheetId="2" hidden="1">'Option 1_Fixed_Cost'!$AO$19:$AO$24</definedName>
    <definedName name="solver_lhs1" localSheetId="1" hidden="1">'Option 1_Fixed_UB'!$AO$19:$AO$24</definedName>
    <definedName name="solver_lhs1" localSheetId="0" hidden="1">'Option 1_NoSolution'!$AC$19:$AC$24</definedName>
    <definedName name="solver_lhs2" localSheetId="2" hidden="1">'Option 1_Fixed_Cost'!$AO$25:$AO$27</definedName>
    <definedName name="solver_lhs2" localSheetId="1" hidden="1">'Option 1_Fixed_UB'!$AO$25:$AO$27</definedName>
    <definedName name="solver_lhs2" localSheetId="0" hidden="1">'Option 1_NoSolution'!$AC$25:$AC$27</definedName>
    <definedName name="solver_lhs3" localSheetId="2" hidden="1">'Option 1_Fixed_Cost'!$AO$28:$AO$36</definedName>
    <definedName name="solver_lhs3" localSheetId="1" hidden="1">'Option 1_Fixed_UB'!$AO$28:$AO$36</definedName>
    <definedName name="solver_lhs3" localSheetId="0" hidden="1">'Option 1_NoSolution'!$AC$28:$AC$42</definedName>
    <definedName name="solver_lhs4" localSheetId="2" hidden="1">'Option 1_Fixed_Cost'!$AO$37:$AO$42</definedName>
    <definedName name="solver_lhs4" localSheetId="1" hidden="1">'Option 1_Fixed_UB'!$AO$37:$AO$42</definedName>
    <definedName name="solver_lhs4" localSheetId="0" hidden="1">'Option 1_NoSolution'!$AC$43:$AC$45</definedName>
    <definedName name="solver_lhs5" localSheetId="2" hidden="1">'Option 1_Fixed_Cost'!$AO$43:$AO$45</definedName>
    <definedName name="solver_lhs5" localSheetId="1" hidden="1">'Option 1_Fixed_UB'!$AO$42:$AO$54</definedName>
    <definedName name="solver_lhs6" localSheetId="1" hidden="1">'Option 1_Fixed_UB'!$AO$55:$AO$57</definedName>
    <definedName name="solver_lin" localSheetId="2" hidden="1">1</definedName>
    <definedName name="solver_lin" localSheetId="1" hidden="1">1</definedName>
    <definedName name="solver_lin" localSheetId="0" hidden="1">1</definedName>
    <definedName name="solver_mip" localSheetId="2" hidden="1">2147483647</definedName>
    <definedName name="solver_mip" localSheetId="1" hidden="1">2147483647</definedName>
    <definedName name="solver_mip" localSheetId="0" hidden="1">2147483647</definedName>
    <definedName name="solver_mni" localSheetId="2" hidden="1">30</definedName>
    <definedName name="solver_mni" localSheetId="1" hidden="1">30</definedName>
    <definedName name="solver_mni" localSheetId="0" hidden="1">30</definedName>
    <definedName name="solver_mrt" localSheetId="2" hidden="1">0.075</definedName>
    <definedName name="solver_mrt" localSheetId="1" hidden="1">0.075</definedName>
    <definedName name="solver_mrt" localSheetId="0" hidden="1">0.075</definedName>
    <definedName name="solver_msl" localSheetId="2" hidden="1">2</definedName>
    <definedName name="solver_msl" localSheetId="1" hidden="1">2</definedName>
    <definedName name="solver_msl" localSheetId="0" hidden="1">2</definedName>
    <definedName name="solver_neg" localSheetId="2" hidden="1">1</definedName>
    <definedName name="solver_neg" localSheetId="1" hidden="1">1</definedName>
    <definedName name="solver_neg" localSheetId="0" hidden="1">1</definedName>
    <definedName name="solver_nod" localSheetId="2" hidden="1">2147483647</definedName>
    <definedName name="solver_nod" localSheetId="1" hidden="1">2147483647</definedName>
    <definedName name="solver_nod" localSheetId="0" hidden="1">2147483647</definedName>
    <definedName name="solver_num" localSheetId="2" hidden="1">5</definedName>
    <definedName name="solver_num" localSheetId="1" hidden="1">6</definedName>
    <definedName name="solver_num" localSheetId="0" hidden="1">4</definedName>
    <definedName name="solver_opt" localSheetId="2" hidden="1">'Option 1_Fixed_Cost'!$AP$17</definedName>
    <definedName name="solver_opt" localSheetId="1" hidden="1">'Option 1_Fixed_UB'!$AP$17</definedName>
    <definedName name="solver_opt" localSheetId="0" hidden="1">'Option 1_NoSolution'!$AD$17</definedName>
    <definedName name="solver_pre" localSheetId="2" hidden="1">0.000001</definedName>
    <definedName name="solver_pre" localSheetId="1" hidden="1">0.000001</definedName>
    <definedName name="solver_pre" localSheetId="0" hidden="1">0.000001</definedName>
    <definedName name="solver_rbv" localSheetId="2" hidden="1">1</definedName>
    <definedName name="solver_rbv" localSheetId="1" hidden="1">1</definedName>
    <definedName name="solver_rbv" localSheetId="0" hidden="1">1</definedName>
    <definedName name="solver_rel1" localSheetId="2" hidden="1">2</definedName>
    <definedName name="solver_rel1" localSheetId="1" hidden="1">2</definedName>
    <definedName name="solver_rel1" localSheetId="0" hidden="1">2</definedName>
    <definedName name="solver_rel2" localSheetId="2" hidden="1">1</definedName>
    <definedName name="solver_rel2" localSheetId="1" hidden="1">1</definedName>
    <definedName name="solver_rel2" localSheetId="0" hidden="1">1</definedName>
    <definedName name="solver_rel3" localSheetId="2" hidden="1">2</definedName>
    <definedName name="solver_rel3" localSheetId="1" hidden="1">2</definedName>
    <definedName name="solver_rel3" localSheetId="0" hidden="1">2</definedName>
    <definedName name="solver_rel4" localSheetId="2" hidden="1">2</definedName>
    <definedName name="solver_rel4" localSheetId="1" hidden="1">2</definedName>
    <definedName name="solver_rel4" localSheetId="0" hidden="1">1</definedName>
    <definedName name="solver_rel5" localSheetId="2" hidden="1">1</definedName>
    <definedName name="solver_rel5" localSheetId="1" hidden="1">1</definedName>
    <definedName name="solver_rel6" localSheetId="1" hidden="1">1</definedName>
    <definedName name="solver_rhs1" localSheetId="2" hidden="1">'Option 1_Fixed_Cost'!$AQ$19:$AQ$24</definedName>
    <definedName name="solver_rhs1" localSheetId="1" hidden="1">'Option 1_Fixed_UB'!$AQ$19:$AQ$24</definedName>
    <definedName name="solver_rhs1" localSheetId="0" hidden="1">'Option 1_NoSolution'!$AE$19:$AE$24</definedName>
    <definedName name="solver_rhs2" localSheetId="2" hidden="1">'Option 1_Fixed_Cost'!$AQ$25:$AQ$27</definedName>
    <definedName name="solver_rhs2" localSheetId="1" hidden="1">'Option 1_Fixed_UB'!$AQ$25:$AQ$27</definedName>
    <definedName name="solver_rhs2" localSheetId="0" hidden="1">'Option 1_NoSolution'!$AE$25:$AE$27</definedName>
    <definedName name="solver_rhs3" localSheetId="2" hidden="1">'Option 1_Fixed_Cost'!$AQ$28:$AQ$36</definedName>
    <definedName name="solver_rhs3" localSheetId="1" hidden="1">'Option 1_Fixed_UB'!$AQ$28:$AQ$36</definedName>
    <definedName name="solver_rhs3" localSheetId="0" hidden="1">'Option 1_NoSolution'!$AE$28:$AE$42</definedName>
    <definedName name="solver_rhs4" localSheetId="2" hidden="1">'Option 1_Fixed_Cost'!$AQ$37:$AQ$42</definedName>
    <definedName name="solver_rhs4" localSheetId="1" hidden="1">'Option 1_Fixed_UB'!$AQ$37:$AQ$42</definedName>
    <definedName name="solver_rhs4" localSheetId="0" hidden="1">'Option 1_NoSolution'!$AE$43:$AE$45</definedName>
    <definedName name="solver_rhs5" localSheetId="2" hidden="1">'Option 1_Fixed_Cost'!$AQ$43:$AQ$45</definedName>
    <definedName name="solver_rhs5" localSheetId="1" hidden="1">'Option 1_Fixed_UB'!$AQ$42:$AQ$54</definedName>
    <definedName name="solver_rhs6" localSheetId="1" hidden="1">'Option 1_Fixed_UB'!$AQ$55:$AQ$57</definedName>
    <definedName name="solver_rlx" localSheetId="2" hidden="1">2</definedName>
    <definedName name="solver_rlx" localSheetId="1" hidden="1">2</definedName>
    <definedName name="solver_rlx" localSheetId="0" hidden="1">2</definedName>
    <definedName name="solver_rsd" localSheetId="2" hidden="1">0</definedName>
    <definedName name="solver_rsd" localSheetId="1" hidden="1">0</definedName>
    <definedName name="solver_rsd" localSheetId="0" hidden="1">0</definedName>
    <definedName name="solver_scl" localSheetId="2" hidden="1">1</definedName>
    <definedName name="solver_scl" localSheetId="1" hidden="1">1</definedName>
    <definedName name="solver_scl" localSheetId="0" hidden="1">1</definedName>
    <definedName name="solver_sho" localSheetId="2" hidden="1">2</definedName>
    <definedName name="solver_sho" localSheetId="1" hidden="1">2</definedName>
    <definedName name="solver_sho" localSheetId="0" hidden="1">2</definedName>
    <definedName name="solver_ssz" localSheetId="2" hidden="1">100</definedName>
    <definedName name="solver_ssz" localSheetId="1" hidden="1">100</definedName>
    <definedName name="solver_ssz" localSheetId="0" hidden="1">100</definedName>
    <definedName name="solver_tim" localSheetId="2" hidden="1">2147483647</definedName>
    <definedName name="solver_tim" localSheetId="1" hidden="1">2147483647</definedName>
    <definedName name="solver_tim" localSheetId="0" hidden="1">2147483647</definedName>
    <definedName name="solver_tol" localSheetId="2" hidden="1">0.01</definedName>
    <definedName name="solver_tol" localSheetId="1" hidden="1">0.01</definedName>
    <definedName name="solver_tol" localSheetId="0" hidden="1">0.01</definedName>
    <definedName name="solver_typ" localSheetId="2" hidden="1">2</definedName>
    <definedName name="solver_typ" localSheetId="1" hidden="1">2</definedName>
    <definedName name="solver_typ" localSheetId="0" hidden="1">2</definedName>
    <definedName name="solver_val" localSheetId="2" hidden="1">0</definedName>
    <definedName name="solver_val" localSheetId="1" hidden="1">0</definedName>
    <definedName name="solver_val" localSheetId="0" hidden="1">0</definedName>
    <definedName name="solver_ver" localSheetId="2" hidden="1">2</definedName>
    <definedName name="solver_ver" localSheetId="1" hidden="1">2</definedName>
    <definedName name="solver_ver" localSheetId="0" hidden="1">2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C16" i="4" l="1"/>
  <c r="AD16" i="4"/>
  <c r="AE16" i="4"/>
  <c r="AF16" i="4"/>
  <c r="AG16" i="4"/>
  <c r="AH16" i="4"/>
  <c r="AI16" i="4"/>
  <c r="AJ16" i="4"/>
  <c r="AK16" i="4"/>
  <c r="AL16" i="4"/>
  <c r="AM16" i="4"/>
  <c r="AN16" i="4"/>
  <c r="AP17" i="4"/>
  <c r="AR16" i="4"/>
  <c r="R16" i="4"/>
  <c r="Q16" i="4"/>
  <c r="P16" i="4"/>
  <c r="L16" i="4"/>
  <c r="K16" i="4"/>
  <c r="J16" i="4"/>
  <c r="I16" i="4"/>
  <c r="H16" i="4"/>
  <c r="G16" i="4"/>
  <c r="F16" i="4"/>
  <c r="D16" i="4"/>
  <c r="B16" i="4"/>
  <c r="R16" i="2"/>
  <c r="Q16" i="2"/>
  <c r="P16" i="2"/>
  <c r="L16" i="2"/>
  <c r="K16" i="2"/>
  <c r="J16" i="2"/>
  <c r="I16" i="2"/>
  <c r="H16" i="2"/>
  <c r="G16" i="2"/>
  <c r="F16" i="2"/>
  <c r="D16" i="2"/>
  <c r="B16" i="2"/>
  <c r="R16" i="1"/>
  <c r="Q16" i="1"/>
  <c r="P16" i="1"/>
  <c r="L16" i="1"/>
  <c r="K16" i="1"/>
  <c r="J16" i="1"/>
  <c r="I16" i="1"/>
  <c r="H16" i="1"/>
  <c r="G16" i="1"/>
  <c r="F16" i="1"/>
  <c r="D16" i="1"/>
  <c r="B16" i="1"/>
  <c r="AO19" i="4"/>
  <c r="AO57" i="2"/>
  <c r="AO45" i="4"/>
  <c r="AO43" i="4"/>
  <c r="AO44" i="4"/>
  <c r="AO56" i="2"/>
  <c r="AO55" i="2"/>
  <c r="AC45" i="1"/>
  <c r="AC43" i="1"/>
  <c r="AC44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Q44" i="2"/>
  <c r="AQ45" i="2"/>
  <c r="AQ46" i="2"/>
  <c r="AQ47" i="2"/>
  <c r="AQ48" i="2"/>
  <c r="AQ49" i="2"/>
  <c r="AQ50" i="2"/>
  <c r="AQ51" i="2"/>
  <c r="AQ52" i="2"/>
  <c r="AQ53" i="2"/>
  <c r="AQ54" i="2"/>
  <c r="AQ43" i="2"/>
  <c r="AO52" i="2"/>
  <c r="AO43" i="2"/>
  <c r="AO44" i="2"/>
  <c r="AO45" i="2"/>
  <c r="AO46" i="2"/>
  <c r="AO47" i="2"/>
  <c r="AO48" i="2"/>
  <c r="AO49" i="2"/>
  <c r="AO50" i="2"/>
  <c r="AO51" i="2"/>
  <c r="AO53" i="2"/>
  <c r="AO54" i="2"/>
  <c r="AO42" i="4"/>
  <c r="AO41" i="4"/>
  <c r="AO40" i="4"/>
  <c r="AO39" i="4"/>
  <c r="AO38" i="4"/>
  <c r="AO37" i="4"/>
  <c r="AO36" i="4"/>
  <c r="AO35" i="4"/>
  <c r="AO34" i="4"/>
  <c r="AO33" i="4"/>
  <c r="AO32" i="4"/>
  <c r="AO31" i="4"/>
  <c r="B30" i="4"/>
  <c r="E30" i="4"/>
  <c r="H30" i="4"/>
  <c r="K30" i="4"/>
  <c r="N30" i="4"/>
  <c r="Q30" i="4"/>
  <c r="AO30" i="4"/>
  <c r="B29" i="4"/>
  <c r="E29" i="4"/>
  <c r="H29" i="4"/>
  <c r="K29" i="4"/>
  <c r="N29" i="4"/>
  <c r="Q29" i="4"/>
  <c r="AO29" i="4"/>
  <c r="B28" i="4"/>
  <c r="E28" i="4"/>
  <c r="H28" i="4"/>
  <c r="K28" i="4"/>
  <c r="N28" i="4"/>
  <c r="Q28" i="4"/>
  <c r="AO28" i="4"/>
  <c r="AO27" i="4"/>
  <c r="AO26" i="4"/>
  <c r="AO25" i="4"/>
  <c r="AO24" i="4"/>
  <c r="AO23" i="4"/>
  <c r="AO22" i="4"/>
  <c r="AO21" i="4"/>
  <c r="AO20" i="4"/>
  <c r="AO42" i="2"/>
  <c r="AO20" i="2"/>
  <c r="AO21" i="2"/>
  <c r="AO22" i="2"/>
  <c r="AO23" i="2"/>
  <c r="AO24" i="2"/>
  <c r="AO25" i="2"/>
  <c r="AO26" i="2"/>
  <c r="AO27" i="2"/>
  <c r="AO28" i="2"/>
  <c r="AO29" i="2"/>
  <c r="AO30" i="2"/>
  <c r="AO31" i="2"/>
  <c r="AO32" i="2"/>
  <c r="AO33" i="2"/>
  <c r="AO34" i="2"/>
  <c r="AO35" i="2"/>
  <c r="AO36" i="2"/>
  <c r="AO37" i="2"/>
  <c r="AO38" i="2"/>
  <c r="AO39" i="2"/>
  <c r="AO40" i="2"/>
  <c r="AO41" i="2"/>
  <c r="AO19" i="2"/>
  <c r="AP17" i="2"/>
  <c r="B30" i="2"/>
  <c r="E30" i="2"/>
  <c r="H30" i="2"/>
  <c r="K30" i="2"/>
  <c r="N30" i="2"/>
  <c r="Q30" i="2"/>
  <c r="B29" i="2"/>
  <c r="E29" i="2"/>
  <c r="H29" i="2"/>
  <c r="K29" i="2"/>
  <c r="N29" i="2"/>
  <c r="Q29" i="2"/>
  <c r="B28" i="2"/>
  <c r="E28" i="2"/>
  <c r="H28" i="2"/>
  <c r="K28" i="2"/>
  <c r="N28" i="2"/>
  <c r="Q28" i="2"/>
  <c r="AC19" i="1"/>
  <c r="AD17" i="1"/>
  <c r="AB42" i="1"/>
  <c r="AA42" i="1"/>
  <c r="AA41" i="1"/>
  <c r="Z41" i="1"/>
  <c r="Y40" i="1"/>
  <c r="X40" i="1"/>
  <c r="X39" i="1"/>
  <c r="W39" i="1"/>
  <c r="V38" i="1"/>
  <c r="U38" i="1"/>
  <c r="U37" i="1"/>
  <c r="T37" i="1"/>
  <c r="Q28" i="1"/>
  <c r="Q30" i="1"/>
  <c r="Q29" i="1"/>
  <c r="N30" i="1"/>
  <c r="N29" i="1"/>
  <c r="K29" i="1"/>
  <c r="K30" i="1"/>
  <c r="H30" i="1"/>
  <c r="H29" i="1"/>
  <c r="E30" i="1"/>
  <c r="E29" i="1"/>
  <c r="B30" i="1"/>
  <c r="B29" i="1"/>
  <c r="N28" i="1"/>
  <c r="K28" i="1"/>
  <c r="H28" i="1"/>
  <c r="E28" i="1"/>
  <c r="B28" i="1"/>
</calcChain>
</file>

<file path=xl/sharedStrings.xml><?xml version="1.0" encoding="utf-8"?>
<sst xmlns="http://schemas.openxmlformats.org/spreadsheetml/2006/main" count="335" uniqueCount="46">
  <si>
    <t>Region</t>
  </si>
  <si>
    <t>No Students</t>
  </si>
  <si>
    <t>% 6th</t>
  </si>
  <si>
    <t>% 7th</t>
  </si>
  <si>
    <t>% 8th</t>
  </si>
  <si>
    <t>Costs</t>
  </si>
  <si>
    <t>School 1</t>
  </si>
  <si>
    <t>School 2</t>
  </si>
  <si>
    <t>School 3</t>
  </si>
  <si>
    <t>--</t>
  </si>
  <si>
    <t>Capacities</t>
  </si>
  <si>
    <t>Distance</t>
  </si>
  <si>
    <t>1.5-2</t>
  </si>
  <si>
    <t>&lt;1</t>
  </si>
  <si>
    <t>5.5-6</t>
  </si>
  <si>
    <t>2.5-3</t>
  </si>
  <si>
    <t>3.5-4</t>
  </si>
  <si>
    <t>4.5-5</t>
  </si>
  <si>
    <t>1-1.5</t>
  </si>
  <si>
    <t>Region 1</t>
  </si>
  <si>
    <t>Region 2</t>
  </si>
  <si>
    <t>Region 3</t>
  </si>
  <si>
    <t>Region 4</t>
  </si>
  <si>
    <t>Region 5</t>
  </si>
  <si>
    <t>Region 6</t>
  </si>
  <si>
    <t>6th</t>
  </si>
  <si>
    <t>7th</t>
  </si>
  <si>
    <t>8th</t>
  </si>
  <si>
    <t>LHS</t>
  </si>
  <si>
    <t>=</t>
  </si>
  <si>
    <t>Obj</t>
  </si>
  <si>
    <t>&lt;=</t>
  </si>
  <si>
    <t>Extra Over School 1</t>
  </si>
  <si>
    <t>Extra Under School 1</t>
  </si>
  <si>
    <t>Extra Over School 2</t>
  </si>
  <si>
    <t>Extra Under School 2</t>
  </si>
  <si>
    <t>Extra Over School 3</t>
  </si>
  <si>
    <t>Extra Under School 3</t>
  </si>
  <si>
    <t>Minimum Threshold</t>
  </si>
  <si>
    <t>Cost</t>
  </si>
  <si>
    <t>Cost Analysis</t>
  </si>
  <si>
    <t>Min</t>
  </si>
  <si>
    <t>Max</t>
  </si>
  <si>
    <t>Avg</t>
  </si>
  <si>
    <t>#zeros</t>
  </si>
  <si>
    <t>True Objective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</si>
</sst>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0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6">
    <xf numFmtId="0" fontId="0" fillId="0" borderId="0" xfId="0"/>
    <xf numFmtId="0" fontId="0" fillId="0" borderId="0" xfId="0" quotePrefix="1"/>
    <xf numFmtId="0" fontId="1" fillId="0" borderId="0" xfId="0" applyFont="1"/>
    <xf numFmtId="0" fontId="4" fillId="0" borderId="0" xfId="0" applyFont="1"/>
    <xf numFmtId="0" fontId="0" fillId="2" borderId="0" xfId="0" applyFill="1"/>
    <xf numFmtId="0" fontId="0" fillId="3" borderId="0" xfId="0" applyFill="1"/>
  </cellXfs>
  <cellStyles count="10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3:AE45"/>
  <sheetViews>
    <sheetView tabSelected="1" topLeftCell="F4" workbookViewId="0">
      <selection activeCell="AB32" sqref="AB32:AC32"/>
    </sheetView>
  </sheetViews>
  <sheetFormatPr baseColWidth="10" defaultRowHeight="15" x14ac:dyDescent="0"/>
  <sheetData>
    <row r="3" spans="2:30">
      <c r="H3" t="s">
        <v>5</v>
      </c>
      <c r="J3" s="3"/>
      <c r="K3" s="3" t="s">
        <v>11</v>
      </c>
      <c r="L3" s="3"/>
    </row>
    <row r="4" spans="2:30">
      <c r="B4" t="s">
        <v>0</v>
      </c>
      <c r="C4" t="s">
        <v>1</v>
      </c>
      <c r="D4" t="s">
        <v>2</v>
      </c>
      <c r="E4" t="s">
        <v>3</v>
      </c>
      <c r="F4" t="s">
        <v>4</v>
      </c>
      <c r="G4" t="s">
        <v>6</v>
      </c>
      <c r="H4" t="s">
        <v>7</v>
      </c>
      <c r="I4" t="s">
        <v>8</v>
      </c>
      <c r="J4" s="3" t="s">
        <v>6</v>
      </c>
      <c r="K4" s="3" t="s">
        <v>7</v>
      </c>
      <c r="L4" s="3" t="s">
        <v>8</v>
      </c>
    </row>
    <row r="5" spans="2:30">
      <c r="B5">
        <v>1</v>
      </c>
      <c r="C5">
        <v>450</v>
      </c>
      <c r="D5">
        <v>0.32</v>
      </c>
      <c r="E5">
        <v>0.38</v>
      </c>
      <c r="F5">
        <v>0.3</v>
      </c>
      <c r="G5">
        <v>300</v>
      </c>
      <c r="H5">
        <v>0</v>
      </c>
      <c r="I5">
        <v>700</v>
      </c>
      <c r="J5" t="s">
        <v>12</v>
      </c>
      <c r="K5" t="s">
        <v>13</v>
      </c>
      <c r="L5" t="s">
        <v>14</v>
      </c>
    </row>
    <row r="6" spans="2:30">
      <c r="B6">
        <v>2</v>
      </c>
      <c r="C6">
        <v>600</v>
      </c>
      <c r="D6">
        <v>0.37</v>
      </c>
      <c r="E6">
        <v>0.28000000000000003</v>
      </c>
      <c r="F6">
        <v>0.35</v>
      </c>
      <c r="G6" s="1" t="s">
        <v>9</v>
      </c>
      <c r="H6">
        <v>400</v>
      </c>
      <c r="I6">
        <v>500</v>
      </c>
      <c r="K6" t="s">
        <v>15</v>
      </c>
      <c r="L6" t="s">
        <v>16</v>
      </c>
    </row>
    <row r="7" spans="2:30">
      <c r="B7">
        <v>3</v>
      </c>
      <c r="C7">
        <v>550</v>
      </c>
      <c r="D7">
        <v>0.3</v>
      </c>
      <c r="E7">
        <v>0.32</v>
      </c>
      <c r="F7">
        <v>0.38</v>
      </c>
      <c r="G7">
        <v>600</v>
      </c>
      <c r="H7">
        <v>300</v>
      </c>
      <c r="I7">
        <v>200</v>
      </c>
      <c r="J7" t="s">
        <v>17</v>
      </c>
      <c r="K7" t="s">
        <v>12</v>
      </c>
      <c r="L7" t="s">
        <v>18</v>
      </c>
    </row>
    <row r="8" spans="2:30">
      <c r="B8">
        <v>4</v>
      </c>
      <c r="C8">
        <v>350</v>
      </c>
      <c r="D8">
        <v>0.28000000000000003</v>
      </c>
      <c r="E8">
        <v>0.4</v>
      </c>
      <c r="F8">
        <v>0.32</v>
      </c>
      <c r="G8">
        <v>200</v>
      </c>
      <c r="H8">
        <v>500</v>
      </c>
      <c r="I8" s="1" t="s">
        <v>9</v>
      </c>
      <c r="J8" t="s">
        <v>18</v>
      </c>
      <c r="K8" t="s">
        <v>16</v>
      </c>
    </row>
    <row r="9" spans="2:30">
      <c r="B9">
        <v>5</v>
      </c>
      <c r="C9">
        <v>500</v>
      </c>
      <c r="D9">
        <v>0.39</v>
      </c>
      <c r="E9">
        <v>0.34</v>
      </c>
      <c r="F9">
        <v>0.27</v>
      </c>
      <c r="G9">
        <v>0</v>
      </c>
      <c r="H9" s="1" t="s">
        <v>9</v>
      </c>
      <c r="I9">
        <v>400</v>
      </c>
      <c r="J9" t="s">
        <v>13</v>
      </c>
      <c r="L9" t="s">
        <v>15</v>
      </c>
    </row>
    <row r="10" spans="2:30">
      <c r="B10">
        <v>6</v>
      </c>
      <c r="C10">
        <v>450</v>
      </c>
      <c r="D10">
        <v>0.34</v>
      </c>
      <c r="E10">
        <v>0.28000000000000003</v>
      </c>
      <c r="F10">
        <v>0.38</v>
      </c>
      <c r="G10">
        <v>500</v>
      </c>
      <c r="H10">
        <v>300</v>
      </c>
      <c r="I10">
        <v>0</v>
      </c>
      <c r="J10" t="s">
        <v>16</v>
      </c>
      <c r="K10" t="s">
        <v>12</v>
      </c>
      <c r="L10" t="s">
        <v>13</v>
      </c>
    </row>
    <row r="11" spans="2:30">
      <c r="F11" t="s">
        <v>10</v>
      </c>
      <c r="G11" s="2">
        <v>900</v>
      </c>
      <c r="H11" s="2">
        <v>1100</v>
      </c>
      <c r="I11" s="2">
        <v>1100</v>
      </c>
    </row>
    <row r="14" spans="2:30">
      <c r="C14" t="s">
        <v>19</v>
      </c>
      <c r="F14" t="s">
        <v>20</v>
      </c>
      <c r="I14" t="s">
        <v>21</v>
      </c>
      <c r="L14" t="s">
        <v>22</v>
      </c>
      <c r="O14" t="s">
        <v>23</v>
      </c>
      <c r="R14" t="s">
        <v>24</v>
      </c>
      <c r="U14" t="s">
        <v>6</v>
      </c>
      <c r="X14" t="s">
        <v>7</v>
      </c>
      <c r="AA14" t="s">
        <v>8</v>
      </c>
    </row>
    <row r="15" spans="2:30">
      <c r="B15" t="s">
        <v>6</v>
      </c>
      <c r="C15" t="s">
        <v>7</v>
      </c>
      <c r="D15" t="s">
        <v>8</v>
      </c>
      <c r="E15" t="s">
        <v>6</v>
      </c>
      <c r="F15" t="s">
        <v>7</v>
      </c>
      <c r="G15" t="s">
        <v>8</v>
      </c>
      <c r="H15" t="s">
        <v>6</v>
      </c>
      <c r="I15" t="s">
        <v>7</v>
      </c>
      <c r="J15" t="s">
        <v>8</v>
      </c>
      <c r="K15" t="s">
        <v>6</v>
      </c>
      <c r="L15" t="s">
        <v>7</v>
      </c>
      <c r="M15" t="s">
        <v>8</v>
      </c>
      <c r="N15" t="s">
        <v>6</v>
      </c>
      <c r="O15" t="s">
        <v>7</v>
      </c>
      <c r="P15" t="s">
        <v>8</v>
      </c>
      <c r="Q15" t="s">
        <v>6</v>
      </c>
      <c r="R15" t="s">
        <v>7</v>
      </c>
      <c r="S15" t="s">
        <v>8</v>
      </c>
      <c r="T15" t="s">
        <v>25</v>
      </c>
      <c r="U15" t="s">
        <v>26</v>
      </c>
      <c r="V15" t="s">
        <v>27</v>
      </c>
      <c r="W15" t="s">
        <v>25</v>
      </c>
      <c r="X15" t="s">
        <v>26</v>
      </c>
      <c r="Y15" t="s">
        <v>27</v>
      </c>
      <c r="Z15" t="s">
        <v>25</v>
      </c>
      <c r="AA15" t="s">
        <v>26</v>
      </c>
      <c r="AB15" t="s">
        <v>27</v>
      </c>
    </row>
    <row r="16" spans="2:30">
      <c r="B16">
        <f>300*450</f>
        <v>135000</v>
      </c>
      <c r="C16">
        <v>0</v>
      </c>
      <c r="D16">
        <f>700*450</f>
        <v>315000</v>
      </c>
      <c r="E16" s="1">
        <v>0</v>
      </c>
      <c r="F16">
        <f>400*600</f>
        <v>240000</v>
      </c>
      <c r="G16">
        <f>500*600</f>
        <v>300000</v>
      </c>
      <c r="H16">
        <f>600*550</f>
        <v>330000</v>
      </c>
      <c r="I16">
        <f>300*550</f>
        <v>165000</v>
      </c>
      <c r="J16">
        <f>200*550</f>
        <v>110000</v>
      </c>
      <c r="K16">
        <f>200*350</f>
        <v>70000</v>
      </c>
      <c r="L16">
        <f>500*350</f>
        <v>175000</v>
      </c>
      <c r="M16" s="1">
        <v>0</v>
      </c>
      <c r="N16">
        <v>0</v>
      </c>
      <c r="O16" s="1">
        <v>0</v>
      </c>
      <c r="P16">
        <f>400*500</f>
        <v>200000</v>
      </c>
      <c r="Q16">
        <f>500*450</f>
        <v>225000</v>
      </c>
      <c r="R16">
        <f>300*450</f>
        <v>135000</v>
      </c>
      <c r="S16">
        <v>0</v>
      </c>
      <c r="AD16" t="s">
        <v>30</v>
      </c>
    </row>
    <row r="17" spans="2:31">
      <c r="B17" s="4">
        <v>0</v>
      </c>
      <c r="C17" s="4">
        <v>0.84189231248055174</v>
      </c>
      <c r="D17" s="4">
        <v>0.15810768751944812</v>
      </c>
      <c r="E17" s="4">
        <v>0</v>
      </c>
      <c r="F17" s="4">
        <v>0.51470588235294135</v>
      </c>
      <c r="G17" s="4">
        <v>0</v>
      </c>
      <c r="H17" s="4">
        <v>0.31830914183855447</v>
      </c>
      <c r="I17" s="4">
        <v>0</v>
      </c>
      <c r="J17" s="4">
        <v>0.66297428062133645</v>
      </c>
      <c r="K17" s="4">
        <v>0.59217020141389831</v>
      </c>
      <c r="L17" s="4">
        <v>0.40782979858610163</v>
      </c>
      <c r="M17" s="4">
        <v>0</v>
      </c>
      <c r="N17" s="4">
        <v>0.53753501400560266</v>
      </c>
      <c r="O17" s="4">
        <v>0</v>
      </c>
      <c r="P17" s="4">
        <v>0.4624649859943975</v>
      </c>
      <c r="Q17" s="4">
        <v>0.55311754331362006</v>
      </c>
      <c r="R17" s="4">
        <v>0.44688245668637994</v>
      </c>
      <c r="S17" s="4">
        <v>0</v>
      </c>
      <c r="T17" s="4">
        <v>300</v>
      </c>
      <c r="U17" s="4">
        <v>300</v>
      </c>
      <c r="V17" s="4">
        <v>300</v>
      </c>
      <c r="W17" s="4">
        <v>343.8375350140069</v>
      </c>
      <c r="X17" s="4">
        <v>343.8375350140069</v>
      </c>
      <c r="Y17" s="4">
        <v>343.8375350140069</v>
      </c>
      <c r="Z17" s="4">
        <v>222.33893557422795</v>
      </c>
      <c r="AA17" s="4">
        <v>222.33893557422795</v>
      </c>
      <c r="AB17" s="4">
        <v>222.33893557422795</v>
      </c>
      <c r="AD17" s="5">
        <f>SUMPRODUCT(B16:AB16,B17:AB17)</f>
        <v>741398.22595704801</v>
      </c>
    </row>
    <row r="18" spans="2:31">
      <c r="AC18" t="s">
        <v>28</v>
      </c>
    </row>
    <row r="19" spans="2:31">
      <c r="B19">
        <v>1</v>
      </c>
      <c r="C19">
        <v>1</v>
      </c>
      <c r="D19">
        <v>1</v>
      </c>
      <c r="AC19">
        <f>SUMPRODUCT($B$17:$AB$17,B19:AB19)</f>
        <v>0.99999999999999989</v>
      </c>
      <c r="AD19" t="s">
        <v>29</v>
      </c>
      <c r="AE19">
        <v>1</v>
      </c>
    </row>
    <row r="20" spans="2:31">
      <c r="E20">
        <v>1</v>
      </c>
      <c r="F20">
        <v>1</v>
      </c>
      <c r="G20">
        <v>1</v>
      </c>
      <c r="AC20">
        <f t="shared" ref="AC20:AC45" si="0">SUMPRODUCT($B$17:$AB$17,B20:AB20)</f>
        <v>0.51470588235294135</v>
      </c>
      <c r="AD20" t="s">
        <v>29</v>
      </c>
      <c r="AE20">
        <v>1</v>
      </c>
    </row>
    <row r="21" spans="2:31">
      <c r="H21">
        <v>1</v>
      </c>
      <c r="I21">
        <v>1</v>
      </c>
      <c r="J21">
        <v>1</v>
      </c>
      <c r="AC21">
        <f t="shared" si="0"/>
        <v>0.98128342245989097</v>
      </c>
      <c r="AD21" t="s">
        <v>29</v>
      </c>
      <c r="AE21">
        <v>1</v>
      </c>
    </row>
    <row r="22" spans="2:31">
      <c r="K22">
        <v>1</v>
      </c>
      <c r="L22">
        <v>1</v>
      </c>
      <c r="M22">
        <v>1</v>
      </c>
      <c r="AC22">
        <f t="shared" si="0"/>
        <v>1</v>
      </c>
      <c r="AD22" t="s">
        <v>29</v>
      </c>
      <c r="AE22">
        <v>1</v>
      </c>
    </row>
    <row r="23" spans="2:31">
      <c r="N23">
        <v>1</v>
      </c>
      <c r="O23">
        <v>1</v>
      </c>
      <c r="P23">
        <v>1</v>
      </c>
      <c r="AC23">
        <f t="shared" si="0"/>
        <v>1.0000000000000002</v>
      </c>
      <c r="AD23" t="s">
        <v>29</v>
      </c>
      <c r="AE23">
        <v>1</v>
      </c>
    </row>
    <row r="24" spans="2:31">
      <c r="Q24">
        <v>1</v>
      </c>
      <c r="R24">
        <v>1</v>
      </c>
      <c r="S24">
        <v>1</v>
      </c>
      <c r="AC24">
        <f t="shared" si="0"/>
        <v>1</v>
      </c>
      <c r="AD24" t="s">
        <v>29</v>
      </c>
      <c r="AE24">
        <v>1</v>
      </c>
    </row>
    <row r="25" spans="2:31">
      <c r="B25">
        <v>450</v>
      </c>
      <c r="E25">
        <v>600</v>
      </c>
      <c r="H25">
        <v>550</v>
      </c>
      <c r="K25">
        <v>350</v>
      </c>
      <c r="N25">
        <v>500</v>
      </c>
      <c r="Q25">
        <v>450</v>
      </c>
      <c r="AC25">
        <f t="shared" si="0"/>
        <v>899.99999999999977</v>
      </c>
      <c r="AD25" t="s">
        <v>31</v>
      </c>
      <c r="AE25">
        <v>900</v>
      </c>
    </row>
    <row r="26" spans="2:31">
      <c r="C26">
        <v>450</v>
      </c>
      <c r="F26">
        <v>600</v>
      </c>
      <c r="I26">
        <v>550</v>
      </c>
      <c r="L26">
        <v>350</v>
      </c>
      <c r="O26">
        <v>500</v>
      </c>
      <c r="R26">
        <v>450</v>
      </c>
      <c r="AC26">
        <f t="shared" si="0"/>
        <v>1031.5126050420197</v>
      </c>
      <c r="AD26" t="s">
        <v>31</v>
      </c>
      <c r="AE26">
        <v>1100</v>
      </c>
    </row>
    <row r="27" spans="2:31">
      <c r="D27">
        <v>450</v>
      </c>
      <c r="G27">
        <v>600</v>
      </c>
      <c r="J27">
        <v>550</v>
      </c>
      <c r="M27">
        <v>350</v>
      </c>
      <c r="P27">
        <v>500</v>
      </c>
      <c r="S27">
        <v>450</v>
      </c>
      <c r="AC27">
        <f t="shared" si="0"/>
        <v>667.01680672268549</v>
      </c>
      <c r="AD27" t="s">
        <v>31</v>
      </c>
      <c r="AE27">
        <v>1100</v>
      </c>
    </row>
    <row r="28" spans="2:31">
      <c r="B28">
        <f>$C$5*D5</f>
        <v>144</v>
      </c>
      <c r="E28">
        <f>$C$6*D6</f>
        <v>222</v>
      </c>
      <c r="H28">
        <f>$C$7*D7</f>
        <v>165</v>
      </c>
      <c r="K28">
        <f>$C$8*D8</f>
        <v>98.000000000000014</v>
      </c>
      <c r="N28">
        <f>$C$9*D9</f>
        <v>195</v>
      </c>
      <c r="Q28">
        <f>$C$10*D10</f>
        <v>153</v>
      </c>
      <c r="T28">
        <v>-1</v>
      </c>
      <c r="AC28">
        <f t="shared" si="0"/>
        <v>-1.1368683772161603E-13</v>
      </c>
      <c r="AD28" t="s">
        <v>29</v>
      </c>
      <c r="AE28">
        <v>0</v>
      </c>
    </row>
    <row r="29" spans="2:31">
      <c r="B29">
        <f>$C$5*E5</f>
        <v>171</v>
      </c>
      <c r="E29">
        <f>$C$6*E6</f>
        <v>168.00000000000003</v>
      </c>
      <c r="H29">
        <f>$C$7*E7</f>
        <v>176</v>
      </c>
      <c r="K29">
        <f>$C$8*E8</f>
        <v>140</v>
      </c>
      <c r="N29">
        <f>$C$9*E9</f>
        <v>170</v>
      </c>
      <c r="Q29">
        <f>$C$10*E10</f>
        <v>126.00000000000001</v>
      </c>
      <c r="U29">
        <v>-1</v>
      </c>
      <c r="AC29">
        <f t="shared" si="0"/>
        <v>-5.6843418860808015E-14</v>
      </c>
      <c r="AD29" t="s">
        <v>29</v>
      </c>
      <c r="AE29">
        <v>0</v>
      </c>
    </row>
    <row r="30" spans="2:31">
      <c r="B30">
        <f>$C$5*F5</f>
        <v>135</v>
      </c>
      <c r="E30">
        <f>$C$6*F6</f>
        <v>210</v>
      </c>
      <c r="H30">
        <f>$C$7*F7</f>
        <v>209</v>
      </c>
      <c r="K30">
        <f>$C$8*F8</f>
        <v>112</v>
      </c>
      <c r="N30">
        <f>$C$9*F9</f>
        <v>135</v>
      </c>
      <c r="Q30">
        <f>$C$10*F10</f>
        <v>171</v>
      </c>
      <c r="V30">
        <v>-1</v>
      </c>
      <c r="AC30">
        <f t="shared" si="0"/>
        <v>-1.1368683772161603E-13</v>
      </c>
      <c r="AD30" t="s">
        <v>29</v>
      </c>
      <c r="AE30">
        <v>0</v>
      </c>
    </row>
    <row r="31" spans="2:31">
      <c r="C31">
        <v>144</v>
      </c>
      <c r="F31">
        <v>222</v>
      </c>
      <c r="I31">
        <v>165</v>
      </c>
      <c r="L31">
        <v>98.000000000000014</v>
      </c>
      <c r="O31">
        <v>195</v>
      </c>
      <c r="R31">
        <v>153</v>
      </c>
      <c r="W31">
        <v>-1</v>
      </c>
      <c r="AC31">
        <f t="shared" si="0"/>
        <v>-3.979039320256561E-13</v>
      </c>
      <c r="AD31" t="s">
        <v>29</v>
      </c>
      <c r="AE31">
        <v>0</v>
      </c>
    </row>
    <row r="32" spans="2:31">
      <c r="C32">
        <v>171</v>
      </c>
      <c r="F32">
        <v>168.00000000000003</v>
      </c>
      <c r="I32">
        <v>176</v>
      </c>
      <c r="L32">
        <v>140</v>
      </c>
      <c r="O32">
        <v>170</v>
      </c>
      <c r="R32">
        <v>126.00000000000001</v>
      </c>
      <c r="X32">
        <v>-1</v>
      </c>
      <c r="AC32">
        <f t="shared" si="0"/>
        <v>-2.8421709430404007E-13</v>
      </c>
      <c r="AD32" t="s">
        <v>29</v>
      </c>
      <c r="AE32">
        <v>0</v>
      </c>
    </row>
    <row r="33" spans="3:31">
      <c r="C33">
        <v>135</v>
      </c>
      <c r="F33">
        <v>210</v>
      </c>
      <c r="I33">
        <v>209</v>
      </c>
      <c r="L33">
        <v>112</v>
      </c>
      <c r="O33">
        <v>135</v>
      </c>
      <c r="R33">
        <v>171</v>
      </c>
      <c r="Y33">
        <v>-1</v>
      </c>
      <c r="AC33">
        <f t="shared" si="0"/>
        <v>-4.5474735088646412E-13</v>
      </c>
      <c r="AD33" t="s">
        <v>29</v>
      </c>
      <c r="AE33">
        <v>0</v>
      </c>
    </row>
    <row r="34" spans="3:31">
      <c r="D34">
        <v>144</v>
      </c>
      <c r="G34">
        <v>222</v>
      </c>
      <c r="J34">
        <v>165</v>
      </c>
      <c r="M34">
        <v>98.000000000000014</v>
      </c>
      <c r="P34">
        <v>195</v>
      </c>
      <c r="S34">
        <v>153</v>
      </c>
      <c r="Z34">
        <v>-1</v>
      </c>
      <c r="AC34">
        <f t="shared" si="0"/>
        <v>6.2527760746888816E-13</v>
      </c>
      <c r="AD34" t="s">
        <v>29</v>
      </c>
      <c r="AE34">
        <v>0</v>
      </c>
    </row>
    <row r="35" spans="3:31">
      <c r="D35">
        <v>171</v>
      </c>
      <c r="G35">
        <v>168.00000000000003</v>
      </c>
      <c r="J35">
        <v>176</v>
      </c>
      <c r="M35">
        <v>140</v>
      </c>
      <c r="P35">
        <v>170</v>
      </c>
      <c r="S35">
        <v>126.00000000000001</v>
      </c>
      <c r="AA35">
        <v>-1</v>
      </c>
      <c r="AC35">
        <f t="shared" si="0"/>
        <v>4.5474735088646412E-13</v>
      </c>
      <c r="AD35" t="s">
        <v>29</v>
      </c>
      <c r="AE35">
        <v>0</v>
      </c>
    </row>
    <row r="36" spans="3:31">
      <c r="D36">
        <v>135</v>
      </c>
      <c r="G36">
        <v>210</v>
      </c>
      <c r="J36">
        <v>209</v>
      </c>
      <c r="M36">
        <v>112</v>
      </c>
      <c r="P36">
        <v>135</v>
      </c>
      <c r="S36">
        <v>171</v>
      </c>
      <c r="AB36">
        <v>-1</v>
      </c>
      <c r="AC36">
        <f t="shared" si="0"/>
        <v>5.4001247917767614E-13</v>
      </c>
      <c r="AD36" t="s">
        <v>29</v>
      </c>
      <c r="AE36">
        <v>0</v>
      </c>
    </row>
    <row r="37" spans="3:31">
      <c r="T37">
        <f>1/G11</f>
        <v>1.1111111111111111E-3</v>
      </c>
      <c r="U37">
        <f>-1/900</f>
        <v>-1.1111111111111111E-3</v>
      </c>
      <c r="AC37">
        <f t="shared" si="0"/>
        <v>0</v>
      </c>
      <c r="AD37" t="s">
        <v>29</v>
      </c>
      <c r="AE37">
        <v>0</v>
      </c>
    </row>
    <row r="38" spans="3:31">
      <c r="U38">
        <f>1/900</f>
        <v>1.1111111111111111E-3</v>
      </c>
      <c r="V38">
        <f>-1/900</f>
        <v>-1.1111111111111111E-3</v>
      </c>
      <c r="AC38">
        <f t="shared" si="0"/>
        <v>0</v>
      </c>
      <c r="AD38" t="s">
        <v>29</v>
      </c>
      <c r="AE38">
        <v>0</v>
      </c>
    </row>
    <row r="39" spans="3:31">
      <c r="W39">
        <f>1/1100</f>
        <v>9.0909090909090909E-4</v>
      </c>
      <c r="X39">
        <f>-1/1100</f>
        <v>-9.0909090909090909E-4</v>
      </c>
      <c r="AC39">
        <f t="shared" si="0"/>
        <v>0</v>
      </c>
      <c r="AD39" t="s">
        <v>29</v>
      </c>
      <c r="AE39">
        <v>0</v>
      </c>
    </row>
    <row r="40" spans="3:31">
      <c r="X40">
        <f>1/1100</f>
        <v>9.0909090909090909E-4</v>
      </c>
      <c r="Y40">
        <f>-1/1100</f>
        <v>-9.0909090909090909E-4</v>
      </c>
      <c r="AC40">
        <f t="shared" si="0"/>
        <v>0</v>
      </c>
      <c r="AD40" t="s">
        <v>29</v>
      </c>
      <c r="AE40">
        <v>0</v>
      </c>
    </row>
    <row r="41" spans="3:31">
      <c r="Z41">
        <f>1/1100</f>
        <v>9.0909090909090909E-4</v>
      </c>
      <c r="AA41">
        <f>-1/1100</f>
        <v>-9.0909090909090909E-4</v>
      </c>
      <c r="AC41">
        <f t="shared" si="0"/>
        <v>0</v>
      </c>
      <c r="AD41" t="s">
        <v>29</v>
      </c>
      <c r="AE41">
        <v>0</v>
      </c>
    </row>
    <row r="42" spans="3:31">
      <c r="AA42">
        <f>1/1100</f>
        <v>9.0909090909090909E-4</v>
      </c>
      <c r="AB42">
        <f>-1/1100</f>
        <v>-9.0909090909090909E-4</v>
      </c>
      <c r="AC42">
        <f t="shared" si="0"/>
        <v>0</v>
      </c>
      <c r="AD42" t="s">
        <v>29</v>
      </c>
      <c r="AE42">
        <v>0</v>
      </c>
    </row>
    <row r="43" spans="3:31">
      <c r="E43">
        <v>1</v>
      </c>
      <c r="AC43">
        <f>SUMPRODUCT($B$17:$AB$17,B43:AB43)</f>
        <v>0</v>
      </c>
      <c r="AD43" t="s">
        <v>31</v>
      </c>
      <c r="AE43">
        <v>0</v>
      </c>
    </row>
    <row r="44" spans="3:31">
      <c r="M44">
        <v>1</v>
      </c>
      <c r="AC44">
        <f t="shared" si="0"/>
        <v>0</v>
      </c>
      <c r="AD44" t="s">
        <v>31</v>
      </c>
      <c r="AE44">
        <v>0</v>
      </c>
    </row>
    <row r="45" spans="3:31">
      <c r="O45">
        <v>1</v>
      </c>
      <c r="AC45">
        <f t="shared" si="0"/>
        <v>0</v>
      </c>
      <c r="AD45" t="s">
        <v>31</v>
      </c>
      <c r="AE45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3:AU57"/>
  <sheetViews>
    <sheetView topLeftCell="V1" workbookViewId="0">
      <selection activeCell="X45" sqref="X45:AS45"/>
    </sheetView>
  </sheetViews>
  <sheetFormatPr baseColWidth="10" defaultRowHeight="15" x14ac:dyDescent="0"/>
  <sheetData>
    <row r="3" spans="2:42">
      <c r="H3" t="s">
        <v>5</v>
      </c>
      <c r="J3" s="3"/>
      <c r="K3" s="3" t="s">
        <v>11</v>
      </c>
      <c r="L3" s="3"/>
    </row>
    <row r="4" spans="2:42">
      <c r="B4" t="s">
        <v>0</v>
      </c>
      <c r="C4" t="s">
        <v>1</v>
      </c>
      <c r="D4" t="s">
        <v>2</v>
      </c>
      <c r="E4" t="s">
        <v>3</v>
      </c>
      <c r="F4" t="s">
        <v>4</v>
      </c>
      <c r="G4" t="s">
        <v>6</v>
      </c>
      <c r="H4" t="s">
        <v>7</v>
      </c>
      <c r="I4" t="s">
        <v>8</v>
      </c>
      <c r="J4" s="3" t="s">
        <v>6</v>
      </c>
      <c r="K4" s="3" t="s">
        <v>7</v>
      </c>
      <c r="L4" s="3" t="s">
        <v>8</v>
      </c>
    </row>
    <row r="5" spans="2:42">
      <c r="B5">
        <v>1</v>
      </c>
      <c r="C5">
        <v>450</v>
      </c>
      <c r="D5">
        <v>0.32</v>
      </c>
      <c r="E5">
        <v>0.38</v>
      </c>
      <c r="F5">
        <v>0.3</v>
      </c>
      <c r="G5">
        <v>300</v>
      </c>
      <c r="H5">
        <v>0</v>
      </c>
      <c r="I5">
        <v>700</v>
      </c>
      <c r="J5" t="s">
        <v>12</v>
      </c>
      <c r="K5" t="s">
        <v>13</v>
      </c>
      <c r="L5" t="s">
        <v>14</v>
      </c>
    </row>
    <row r="6" spans="2:42">
      <c r="B6">
        <v>2</v>
      </c>
      <c r="C6">
        <v>600</v>
      </c>
      <c r="D6">
        <v>0.37</v>
      </c>
      <c r="E6">
        <v>0.28000000000000003</v>
      </c>
      <c r="F6">
        <v>0.35</v>
      </c>
      <c r="G6" s="1" t="s">
        <v>9</v>
      </c>
      <c r="H6">
        <v>400</v>
      </c>
      <c r="I6">
        <v>500</v>
      </c>
      <c r="K6" t="s">
        <v>15</v>
      </c>
      <c r="L6" t="s">
        <v>16</v>
      </c>
    </row>
    <row r="7" spans="2:42">
      <c r="B7">
        <v>3</v>
      </c>
      <c r="C7">
        <v>550</v>
      </c>
      <c r="D7">
        <v>0.3</v>
      </c>
      <c r="E7">
        <v>0.32</v>
      </c>
      <c r="F7">
        <v>0.38</v>
      </c>
      <c r="G7">
        <v>600</v>
      </c>
      <c r="H7">
        <v>300</v>
      </c>
      <c r="I7">
        <v>200</v>
      </c>
      <c r="J7" t="s">
        <v>17</v>
      </c>
      <c r="K7" t="s">
        <v>12</v>
      </c>
      <c r="L7" t="s">
        <v>18</v>
      </c>
    </row>
    <row r="8" spans="2:42">
      <c r="B8">
        <v>4</v>
      </c>
      <c r="C8">
        <v>350</v>
      </c>
      <c r="D8">
        <v>0.28000000000000003</v>
      </c>
      <c r="E8">
        <v>0.4</v>
      </c>
      <c r="F8">
        <v>0.32</v>
      </c>
      <c r="G8">
        <v>200</v>
      </c>
      <c r="H8">
        <v>500</v>
      </c>
      <c r="I8" s="1" t="s">
        <v>9</v>
      </c>
      <c r="J8" t="s">
        <v>18</v>
      </c>
      <c r="K8" t="s">
        <v>16</v>
      </c>
    </row>
    <row r="9" spans="2:42">
      <c r="B9">
        <v>5</v>
      </c>
      <c r="C9">
        <v>500</v>
      </c>
      <c r="D9">
        <v>0.39</v>
      </c>
      <c r="E9">
        <v>0.34</v>
      </c>
      <c r="F9">
        <v>0.27</v>
      </c>
      <c r="G9">
        <v>0</v>
      </c>
      <c r="H9" s="1" t="s">
        <v>9</v>
      </c>
      <c r="I9">
        <v>400</v>
      </c>
      <c r="J9" t="s">
        <v>13</v>
      </c>
      <c r="L9" t="s">
        <v>15</v>
      </c>
    </row>
    <row r="10" spans="2:42">
      <c r="B10">
        <v>6</v>
      </c>
      <c r="C10">
        <v>450</v>
      </c>
      <c r="D10">
        <v>0.34</v>
      </c>
      <c r="E10">
        <v>0.28000000000000003</v>
      </c>
      <c r="F10">
        <v>0.38</v>
      </c>
      <c r="G10">
        <v>500</v>
      </c>
      <c r="H10">
        <v>300</v>
      </c>
      <c r="I10">
        <v>0</v>
      </c>
      <c r="J10" t="s">
        <v>16</v>
      </c>
      <c r="K10" t="s">
        <v>12</v>
      </c>
      <c r="L10" t="s">
        <v>13</v>
      </c>
    </row>
    <row r="11" spans="2:42">
      <c r="F11" t="s">
        <v>10</v>
      </c>
      <c r="G11" s="2">
        <v>900</v>
      </c>
      <c r="H11" s="2">
        <v>1100</v>
      </c>
      <c r="I11" s="2">
        <v>1100</v>
      </c>
    </row>
    <row r="14" spans="2:42">
      <c r="C14" t="s">
        <v>19</v>
      </c>
      <c r="F14" t="s">
        <v>20</v>
      </c>
      <c r="I14" t="s">
        <v>21</v>
      </c>
      <c r="L14" t="s">
        <v>22</v>
      </c>
      <c r="O14" t="s">
        <v>23</v>
      </c>
      <c r="R14" t="s">
        <v>24</v>
      </c>
      <c r="U14" t="s">
        <v>6</v>
      </c>
      <c r="X14" t="s">
        <v>7</v>
      </c>
      <c r="AA14" t="s">
        <v>8</v>
      </c>
    </row>
    <row r="15" spans="2:42">
      <c r="B15" t="s">
        <v>6</v>
      </c>
      <c r="C15" t="s">
        <v>7</v>
      </c>
      <c r="D15" t="s">
        <v>8</v>
      </c>
      <c r="E15" t="s">
        <v>6</v>
      </c>
      <c r="F15" t="s">
        <v>7</v>
      </c>
      <c r="G15" t="s">
        <v>8</v>
      </c>
      <c r="H15" t="s">
        <v>6</v>
      </c>
      <c r="I15" t="s">
        <v>7</v>
      </c>
      <c r="J15" t="s">
        <v>8</v>
      </c>
      <c r="K15" t="s">
        <v>6</v>
      </c>
      <c r="L15" t="s">
        <v>7</v>
      </c>
      <c r="M15" t="s">
        <v>8</v>
      </c>
      <c r="N15" t="s">
        <v>6</v>
      </c>
      <c r="O15" t="s">
        <v>7</v>
      </c>
      <c r="P15" t="s">
        <v>8</v>
      </c>
      <c r="Q15" t="s">
        <v>6</v>
      </c>
      <c r="R15" t="s">
        <v>7</v>
      </c>
      <c r="S15" t="s">
        <v>8</v>
      </c>
      <c r="T15" t="s">
        <v>25</v>
      </c>
      <c r="U15" t="s">
        <v>26</v>
      </c>
      <c r="V15" t="s">
        <v>27</v>
      </c>
      <c r="W15" t="s">
        <v>25</v>
      </c>
      <c r="X15" t="s">
        <v>26</v>
      </c>
      <c r="Y15" t="s">
        <v>27</v>
      </c>
      <c r="Z15" t="s">
        <v>25</v>
      </c>
      <c r="AA15" t="s">
        <v>26</v>
      </c>
      <c r="AB15" t="s">
        <v>27</v>
      </c>
      <c r="AC15" t="s">
        <v>32</v>
      </c>
      <c r="AD15" t="s">
        <v>33</v>
      </c>
      <c r="AE15" t="s">
        <v>32</v>
      </c>
      <c r="AF15" t="s">
        <v>33</v>
      </c>
      <c r="AG15" t="s">
        <v>34</v>
      </c>
      <c r="AH15" t="s">
        <v>35</v>
      </c>
      <c r="AI15" t="s">
        <v>34</v>
      </c>
      <c r="AJ15" t="s">
        <v>35</v>
      </c>
      <c r="AK15" t="s">
        <v>36</v>
      </c>
      <c r="AL15" t="s">
        <v>37</v>
      </c>
      <c r="AM15" t="s">
        <v>34</v>
      </c>
      <c r="AN15" t="s">
        <v>35</v>
      </c>
    </row>
    <row r="16" spans="2:42">
      <c r="B16">
        <f>300*450</f>
        <v>135000</v>
      </c>
      <c r="C16">
        <v>0</v>
      </c>
      <c r="D16">
        <f>700*450</f>
        <v>315000</v>
      </c>
      <c r="E16" s="1">
        <v>0</v>
      </c>
      <c r="F16">
        <f>400*600</f>
        <v>240000</v>
      </c>
      <c r="G16">
        <f>500*600</f>
        <v>300000</v>
      </c>
      <c r="H16">
        <f>600*550</f>
        <v>330000</v>
      </c>
      <c r="I16">
        <f>300*550</f>
        <v>165000</v>
      </c>
      <c r="J16">
        <f>200*550</f>
        <v>110000</v>
      </c>
      <c r="K16">
        <f>200*350</f>
        <v>70000</v>
      </c>
      <c r="L16">
        <f>500*350</f>
        <v>175000</v>
      </c>
      <c r="M16" s="1">
        <v>0</v>
      </c>
      <c r="N16">
        <v>0</v>
      </c>
      <c r="O16" s="1">
        <v>0</v>
      </c>
      <c r="P16">
        <f>400*500</f>
        <v>200000</v>
      </c>
      <c r="Q16">
        <f>500*450</f>
        <v>225000</v>
      </c>
      <c r="R16">
        <f>300*450</f>
        <v>135000</v>
      </c>
      <c r="S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P16" t="s">
        <v>30</v>
      </c>
    </row>
    <row r="17" spans="2:43">
      <c r="B17" s="4">
        <v>0</v>
      </c>
      <c r="C17" s="4">
        <v>0.76407407407400851</v>
      </c>
      <c r="D17" s="4">
        <v>0.23592592592599146</v>
      </c>
      <c r="E17" s="4">
        <v>0</v>
      </c>
      <c r="F17" s="4">
        <v>0.83469907407402943</v>
      </c>
      <c r="G17" s="4">
        <v>0.16530092592597082</v>
      </c>
      <c r="H17" s="4">
        <v>0</v>
      </c>
      <c r="I17" s="4">
        <v>0.30359848484852198</v>
      </c>
      <c r="J17" s="4">
        <v>0.69640151515147786</v>
      </c>
      <c r="K17" s="4">
        <v>0.74751984126978444</v>
      </c>
      <c r="L17" s="4">
        <v>0.25248015873021551</v>
      </c>
      <c r="M17" s="4">
        <v>0</v>
      </c>
      <c r="N17" s="4">
        <v>0.38125000000004333</v>
      </c>
      <c r="O17" s="4">
        <v>0</v>
      </c>
      <c r="P17" s="4">
        <v>0.61874999999995672</v>
      </c>
      <c r="Q17" s="4">
        <v>0.99498456790123058</v>
      </c>
      <c r="R17" s="4">
        <v>0</v>
      </c>
      <c r="S17" s="4">
        <v>5.0154320987693991E-3</v>
      </c>
      <c r="T17" s="4">
        <v>299.83333333333564</v>
      </c>
      <c r="U17" s="4">
        <v>294.83333333333218</v>
      </c>
      <c r="V17" s="4">
        <v>305.33333333333218</v>
      </c>
      <c r="W17" s="4">
        <v>370.16666666666549</v>
      </c>
      <c r="X17" s="4">
        <v>359.66666666666549</v>
      </c>
      <c r="Y17" s="4">
        <v>370.16666666666879</v>
      </c>
      <c r="Z17" s="4">
        <v>307.0000000000046</v>
      </c>
      <c r="AA17" s="4">
        <v>296.5000000000046</v>
      </c>
      <c r="AB17" s="4">
        <v>296.5000000000046</v>
      </c>
      <c r="AC17" s="4">
        <v>0</v>
      </c>
      <c r="AD17" s="4">
        <v>5.0000000000034159</v>
      </c>
      <c r="AE17" s="4">
        <v>10.5</v>
      </c>
      <c r="AF17" s="4">
        <v>0</v>
      </c>
      <c r="AG17" s="4">
        <v>0</v>
      </c>
      <c r="AH17" s="4">
        <v>10.5</v>
      </c>
      <c r="AI17" s="4">
        <v>10.500000000003245</v>
      </c>
      <c r="AJ17" s="4">
        <v>0</v>
      </c>
      <c r="AK17" s="4">
        <v>0</v>
      </c>
      <c r="AL17" s="4">
        <v>10.5</v>
      </c>
      <c r="AM17" s="4"/>
      <c r="AN17" s="4"/>
      <c r="AP17" s="5">
        <f>SUMPRODUCT(B16:AN16,B17:AN17)</f>
        <v>895064.58333335514</v>
      </c>
    </row>
    <row r="18" spans="2:43">
      <c r="AO18" t="s">
        <v>28</v>
      </c>
    </row>
    <row r="19" spans="2:43">
      <c r="B19">
        <v>1</v>
      </c>
      <c r="C19">
        <v>1</v>
      </c>
      <c r="D19">
        <v>1</v>
      </c>
      <c r="AO19">
        <f>SUMPRODUCT($B$17:$AN$17,B19:AN19)</f>
        <v>1</v>
      </c>
      <c r="AP19" t="s">
        <v>29</v>
      </c>
      <c r="AQ19">
        <v>1</v>
      </c>
    </row>
    <row r="20" spans="2:43">
      <c r="E20">
        <v>1</v>
      </c>
      <c r="F20">
        <v>1</v>
      </c>
      <c r="G20">
        <v>1</v>
      </c>
      <c r="AO20">
        <f t="shared" ref="AO20:AO41" si="0">SUMPRODUCT($B$17:$AN$17,B20:AN20)</f>
        <v>1.0000000000000002</v>
      </c>
      <c r="AP20" t="s">
        <v>29</v>
      </c>
      <c r="AQ20">
        <v>1</v>
      </c>
    </row>
    <row r="21" spans="2:43">
      <c r="H21">
        <v>1</v>
      </c>
      <c r="I21">
        <v>1</v>
      </c>
      <c r="J21">
        <v>1</v>
      </c>
      <c r="AO21">
        <f t="shared" si="0"/>
        <v>0.99999999999999978</v>
      </c>
      <c r="AP21" t="s">
        <v>29</v>
      </c>
      <c r="AQ21">
        <v>1</v>
      </c>
    </row>
    <row r="22" spans="2:43">
      <c r="K22">
        <v>1</v>
      </c>
      <c r="L22">
        <v>1</v>
      </c>
      <c r="M22">
        <v>1</v>
      </c>
      <c r="AO22">
        <f t="shared" si="0"/>
        <v>1</v>
      </c>
      <c r="AP22" t="s">
        <v>29</v>
      </c>
      <c r="AQ22">
        <v>1</v>
      </c>
    </row>
    <row r="23" spans="2:43">
      <c r="N23">
        <v>1</v>
      </c>
      <c r="O23">
        <v>1</v>
      </c>
      <c r="P23">
        <v>1</v>
      </c>
      <c r="AO23">
        <f t="shared" si="0"/>
        <v>1</v>
      </c>
      <c r="AP23" t="s">
        <v>29</v>
      </c>
      <c r="AQ23">
        <v>1</v>
      </c>
    </row>
    <row r="24" spans="2:43">
      <c r="Q24">
        <v>1</v>
      </c>
      <c r="R24">
        <v>1</v>
      </c>
      <c r="S24">
        <v>1</v>
      </c>
      <c r="AO24">
        <f t="shared" si="0"/>
        <v>1</v>
      </c>
      <c r="AP24" t="s">
        <v>29</v>
      </c>
      <c r="AQ24">
        <v>1</v>
      </c>
    </row>
    <row r="25" spans="2:43">
      <c r="B25">
        <v>450</v>
      </c>
      <c r="E25">
        <v>600</v>
      </c>
      <c r="H25">
        <v>550</v>
      </c>
      <c r="K25">
        <v>350</v>
      </c>
      <c r="N25">
        <v>500</v>
      </c>
      <c r="Q25">
        <v>450</v>
      </c>
      <c r="AO25">
        <f t="shared" si="0"/>
        <v>900</v>
      </c>
      <c r="AP25" t="s">
        <v>31</v>
      </c>
      <c r="AQ25">
        <v>900</v>
      </c>
    </row>
    <row r="26" spans="2:43">
      <c r="C26">
        <v>450</v>
      </c>
      <c r="F26">
        <v>600</v>
      </c>
      <c r="I26">
        <v>550</v>
      </c>
      <c r="L26">
        <v>350</v>
      </c>
      <c r="O26">
        <v>500</v>
      </c>
      <c r="R26">
        <v>450</v>
      </c>
      <c r="AO26">
        <f t="shared" si="0"/>
        <v>1099.9999999999839</v>
      </c>
      <c r="AP26" t="s">
        <v>31</v>
      </c>
      <c r="AQ26">
        <v>1100</v>
      </c>
    </row>
    <row r="27" spans="2:43">
      <c r="D27">
        <v>450</v>
      </c>
      <c r="G27">
        <v>600</v>
      </c>
      <c r="J27">
        <v>550</v>
      </c>
      <c r="M27">
        <v>350</v>
      </c>
      <c r="P27">
        <v>500</v>
      </c>
      <c r="S27">
        <v>450</v>
      </c>
      <c r="AO27">
        <f t="shared" si="0"/>
        <v>900.00000000001603</v>
      </c>
      <c r="AP27" t="s">
        <v>31</v>
      </c>
      <c r="AQ27">
        <v>1100</v>
      </c>
    </row>
    <row r="28" spans="2:43">
      <c r="B28">
        <f>$C$5*D5</f>
        <v>144</v>
      </c>
      <c r="E28">
        <f>$C$6*D6</f>
        <v>222</v>
      </c>
      <c r="H28">
        <f>$C$7*D7</f>
        <v>165</v>
      </c>
      <c r="K28">
        <f>$C$8*D8</f>
        <v>98.000000000000014</v>
      </c>
      <c r="N28">
        <f>$C$9*D9</f>
        <v>195</v>
      </c>
      <c r="Q28">
        <f>$C$10*D10</f>
        <v>153</v>
      </c>
      <c r="T28">
        <v>-1</v>
      </c>
      <c r="AO28">
        <f t="shared" si="0"/>
        <v>0</v>
      </c>
      <c r="AP28" t="s">
        <v>29</v>
      </c>
      <c r="AQ28">
        <v>0</v>
      </c>
    </row>
    <row r="29" spans="2:43">
      <c r="B29">
        <f>$C$5*E5</f>
        <v>171</v>
      </c>
      <c r="E29">
        <f>$C$6*E6</f>
        <v>168.00000000000003</v>
      </c>
      <c r="H29">
        <f>$C$7*E7</f>
        <v>176</v>
      </c>
      <c r="K29">
        <f>$C$8*E8</f>
        <v>140</v>
      </c>
      <c r="N29">
        <f>$C$9*E9</f>
        <v>170</v>
      </c>
      <c r="Q29">
        <f>$C$10*E10</f>
        <v>126.00000000000001</v>
      </c>
      <c r="U29">
        <v>-1</v>
      </c>
      <c r="AO29">
        <f t="shared" si="0"/>
        <v>5.6843418860808015E-14</v>
      </c>
      <c r="AP29" t="s">
        <v>29</v>
      </c>
      <c r="AQ29">
        <v>0</v>
      </c>
    </row>
    <row r="30" spans="2:43">
      <c r="B30">
        <f>$C$5*F5</f>
        <v>135</v>
      </c>
      <c r="E30">
        <f>$C$6*F6</f>
        <v>210</v>
      </c>
      <c r="H30">
        <f>$C$7*F7</f>
        <v>209</v>
      </c>
      <c r="K30">
        <f>$C$8*F8</f>
        <v>112</v>
      </c>
      <c r="N30">
        <f>$C$9*F9</f>
        <v>135</v>
      </c>
      <c r="Q30">
        <f>$C$10*F10</f>
        <v>171</v>
      </c>
      <c r="V30">
        <v>-1</v>
      </c>
      <c r="AO30">
        <f t="shared" si="0"/>
        <v>-5.6843418860808015E-14</v>
      </c>
      <c r="AP30" t="s">
        <v>29</v>
      </c>
      <c r="AQ30">
        <v>0</v>
      </c>
    </row>
    <row r="31" spans="2:43">
      <c r="C31">
        <v>144</v>
      </c>
      <c r="F31">
        <v>222</v>
      </c>
      <c r="I31">
        <v>165</v>
      </c>
      <c r="L31">
        <v>98.000000000000014</v>
      </c>
      <c r="O31">
        <v>195</v>
      </c>
      <c r="R31">
        <v>153</v>
      </c>
      <c r="W31">
        <v>-1</v>
      </c>
      <c r="AO31">
        <f t="shared" si="0"/>
        <v>-6.4801497501321137E-12</v>
      </c>
      <c r="AP31" t="s">
        <v>29</v>
      </c>
      <c r="AQ31">
        <v>0</v>
      </c>
    </row>
    <row r="32" spans="2:43">
      <c r="C32">
        <v>171</v>
      </c>
      <c r="F32">
        <v>168.00000000000003</v>
      </c>
      <c r="I32">
        <v>176</v>
      </c>
      <c r="L32">
        <v>140</v>
      </c>
      <c r="O32">
        <v>170</v>
      </c>
      <c r="R32">
        <v>126.00000000000001</v>
      </c>
      <c r="X32">
        <v>-1</v>
      </c>
      <c r="AO32">
        <f t="shared" si="0"/>
        <v>-3.0127011996228248E-12</v>
      </c>
      <c r="AP32" t="s">
        <v>29</v>
      </c>
      <c r="AQ32">
        <v>0</v>
      </c>
    </row>
    <row r="33" spans="3:47">
      <c r="C33">
        <v>135</v>
      </c>
      <c r="F33">
        <v>210</v>
      </c>
      <c r="I33">
        <v>209</v>
      </c>
      <c r="L33">
        <v>112</v>
      </c>
      <c r="O33">
        <v>135</v>
      </c>
      <c r="R33">
        <v>171</v>
      </c>
      <c r="Y33">
        <v>-1</v>
      </c>
      <c r="AO33">
        <f t="shared" si="0"/>
        <v>-6.2527760746888816E-12</v>
      </c>
      <c r="AP33" t="s">
        <v>29</v>
      </c>
      <c r="AQ33">
        <v>0</v>
      </c>
    </row>
    <row r="34" spans="3:47">
      <c r="D34">
        <v>144</v>
      </c>
      <c r="G34">
        <v>222</v>
      </c>
      <c r="J34">
        <v>165</v>
      </c>
      <c r="M34">
        <v>98.000000000000014</v>
      </c>
      <c r="P34">
        <v>195</v>
      </c>
      <c r="S34">
        <v>153</v>
      </c>
      <c r="Z34">
        <v>-1</v>
      </c>
      <c r="AO34">
        <f t="shared" si="0"/>
        <v>7.9580786405131221E-13</v>
      </c>
      <c r="AP34" t="s">
        <v>29</v>
      </c>
      <c r="AQ34">
        <v>0</v>
      </c>
    </row>
    <row r="35" spans="3:47">
      <c r="D35">
        <v>171</v>
      </c>
      <c r="G35">
        <v>168.00000000000003</v>
      </c>
      <c r="J35">
        <v>176</v>
      </c>
      <c r="M35">
        <v>140</v>
      </c>
      <c r="P35">
        <v>170</v>
      </c>
      <c r="S35">
        <v>126.00000000000001</v>
      </c>
      <c r="AA35">
        <v>-1</v>
      </c>
      <c r="AO35">
        <f t="shared" si="0"/>
        <v>7.3896444519050419E-13</v>
      </c>
      <c r="AP35" t="s">
        <v>29</v>
      </c>
      <c r="AQ35">
        <v>0</v>
      </c>
      <c r="AU35" t="s">
        <v>38</v>
      </c>
    </row>
    <row r="36" spans="3:47">
      <c r="D36">
        <v>135</v>
      </c>
      <c r="G36">
        <v>210</v>
      </c>
      <c r="J36">
        <v>209</v>
      </c>
      <c r="M36">
        <v>112</v>
      </c>
      <c r="P36">
        <v>135</v>
      </c>
      <c r="S36">
        <v>171</v>
      </c>
      <c r="AB36">
        <v>-1</v>
      </c>
      <c r="AO36">
        <f t="shared" si="0"/>
        <v>6.8212102632969618E-13</v>
      </c>
      <c r="AP36" t="s">
        <v>29</v>
      </c>
      <c r="AQ36">
        <v>0</v>
      </c>
      <c r="AU36">
        <v>10.5</v>
      </c>
    </row>
    <row r="37" spans="3:47">
      <c r="T37">
        <v>1</v>
      </c>
      <c r="U37">
        <v>-1</v>
      </c>
      <c r="AC37">
        <v>1</v>
      </c>
      <c r="AD37">
        <v>-1</v>
      </c>
      <c r="AO37">
        <f t="shared" si="0"/>
        <v>5.1514348342607263E-14</v>
      </c>
      <c r="AP37" t="s">
        <v>29</v>
      </c>
      <c r="AQ37">
        <v>0</v>
      </c>
    </row>
    <row r="38" spans="3:47">
      <c r="U38">
        <v>1</v>
      </c>
      <c r="V38">
        <v>-1</v>
      </c>
      <c r="AE38">
        <v>1</v>
      </c>
      <c r="AF38">
        <v>-1</v>
      </c>
      <c r="AO38">
        <f t="shared" si="0"/>
        <v>0</v>
      </c>
      <c r="AP38" t="s">
        <v>29</v>
      </c>
      <c r="AQ38">
        <v>0</v>
      </c>
    </row>
    <row r="39" spans="3:47">
      <c r="W39">
        <v>1</v>
      </c>
      <c r="X39">
        <v>-1</v>
      </c>
      <c r="AG39">
        <v>1</v>
      </c>
      <c r="AH39">
        <v>-1</v>
      </c>
      <c r="AO39">
        <f t="shared" si="0"/>
        <v>0</v>
      </c>
      <c r="AP39" t="s">
        <v>29</v>
      </c>
      <c r="AQ39">
        <v>0</v>
      </c>
    </row>
    <row r="40" spans="3:47">
      <c r="X40">
        <v>1</v>
      </c>
      <c r="Y40">
        <v>-1</v>
      </c>
      <c r="AI40">
        <v>1</v>
      </c>
      <c r="AJ40">
        <v>-1</v>
      </c>
      <c r="AO40">
        <f t="shared" si="0"/>
        <v>-5.1514348342607263E-14</v>
      </c>
      <c r="AP40" t="s">
        <v>29</v>
      </c>
      <c r="AQ40">
        <v>0</v>
      </c>
    </row>
    <row r="41" spans="3:47">
      <c r="Z41">
        <v>1</v>
      </c>
      <c r="AA41">
        <v>-1</v>
      </c>
      <c r="AK41">
        <v>1</v>
      </c>
      <c r="AL41">
        <v>-1</v>
      </c>
      <c r="AO41">
        <f t="shared" si="0"/>
        <v>0</v>
      </c>
      <c r="AP41" t="s">
        <v>29</v>
      </c>
      <c r="AQ41">
        <v>0</v>
      </c>
    </row>
    <row r="42" spans="3:47">
      <c r="AA42">
        <v>1</v>
      </c>
      <c r="AB42">
        <v>-1</v>
      </c>
      <c r="AM42">
        <v>1</v>
      </c>
      <c r="AN42">
        <v>-1</v>
      </c>
      <c r="AO42">
        <f>SUMPRODUCT($B$17:$AN$17,B42:AN42)</f>
        <v>0</v>
      </c>
      <c r="AP42" t="s">
        <v>29</v>
      </c>
      <c r="AQ42">
        <v>0</v>
      </c>
    </row>
    <row r="43" spans="3:47">
      <c r="AC43">
        <v>1</v>
      </c>
      <c r="AO43">
        <f t="shared" ref="AO43:AO54" si="1">SUMPRODUCT($B$17:$AN$17,B43:AN43)</f>
        <v>0</v>
      </c>
      <c r="AP43" t="s">
        <v>31</v>
      </c>
      <c r="AQ43">
        <f>$AU$36</f>
        <v>10.5</v>
      </c>
    </row>
    <row r="44" spans="3:47">
      <c r="AD44">
        <v>1</v>
      </c>
      <c r="AO44">
        <f t="shared" si="1"/>
        <v>5.0000000000034159</v>
      </c>
      <c r="AP44" t="s">
        <v>31</v>
      </c>
      <c r="AQ44">
        <f t="shared" ref="AQ44:AQ54" si="2">$AU$36</f>
        <v>10.5</v>
      </c>
    </row>
    <row r="45" spans="3:47">
      <c r="AE45">
        <v>1</v>
      </c>
      <c r="AO45">
        <f t="shared" si="1"/>
        <v>10.5</v>
      </c>
      <c r="AP45" t="s">
        <v>31</v>
      </c>
      <c r="AQ45">
        <f t="shared" si="2"/>
        <v>10.5</v>
      </c>
    </row>
    <row r="46" spans="3:47">
      <c r="AF46">
        <v>1</v>
      </c>
      <c r="AO46">
        <f t="shared" si="1"/>
        <v>0</v>
      </c>
      <c r="AP46" t="s">
        <v>31</v>
      </c>
      <c r="AQ46">
        <f t="shared" si="2"/>
        <v>10.5</v>
      </c>
    </row>
    <row r="47" spans="3:47">
      <c r="AG47">
        <v>1</v>
      </c>
      <c r="AO47">
        <f t="shared" si="1"/>
        <v>0</v>
      </c>
      <c r="AP47" t="s">
        <v>31</v>
      </c>
      <c r="AQ47">
        <f t="shared" si="2"/>
        <v>10.5</v>
      </c>
    </row>
    <row r="48" spans="3:47">
      <c r="AH48">
        <v>1</v>
      </c>
      <c r="AO48">
        <f t="shared" si="1"/>
        <v>10.5</v>
      </c>
      <c r="AP48" t="s">
        <v>31</v>
      </c>
      <c r="AQ48">
        <f t="shared" si="2"/>
        <v>10.5</v>
      </c>
    </row>
    <row r="49" spans="5:43">
      <c r="AI49">
        <v>1</v>
      </c>
      <c r="AO49">
        <f t="shared" si="1"/>
        <v>10.500000000003245</v>
      </c>
      <c r="AP49" t="s">
        <v>31</v>
      </c>
      <c r="AQ49">
        <f t="shared" si="2"/>
        <v>10.5</v>
      </c>
    </row>
    <row r="50" spans="5:43">
      <c r="AJ50">
        <v>1</v>
      </c>
      <c r="AO50">
        <f t="shared" si="1"/>
        <v>0</v>
      </c>
      <c r="AP50" t="s">
        <v>31</v>
      </c>
      <c r="AQ50">
        <f t="shared" si="2"/>
        <v>10.5</v>
      </c>
    </row>
    <row r="51" spans="5:43">
      <c r="AK51">
        <v>1</v>
      </c>
      <c r="AO51">
        <f t="shared" si="1"/>
        <v>0</v>
      </c>
      <c r="AP51" t="s">
        <v>31</v>
      </c>
      <c r="AQ51">
        <f t="shared" si="2"/>
        <v>10.5</v>
      </c>
    </row>
    <row r="52" spans="5:43">
      <c r="AL52">
        <v>1</v>
      </c>
      <c r="AO52">
        <f>SUMPRODUCT($B$17:$AN$17,B52:AN52)</f>
        <v>10.5</v>
      </c>
      <c r="AP52" t="s">
        <v>31</v>
      </c>
      <c r="AQ52">
        <f t="shared" si="2"/>
        <v>10.5</v>
      </c>
    </row>
    <row r="53" spans="5:43">
      <c r="AM53">
        <v>1</v>
      </c>
      <c r="AO53">
        <f t="shared" si="1"/>
        <v>0</v>
      </c>
      <c r="AP53" t="s">
        <v>31</v>
      </c>
      <c r="AQ53">
        <f t="shared" si="2"/>
        <v>10.5</v>
      </c>
    </row>
    <row r="54" spans="5:43">
      <c r="AN54">
        <v>1</v>
      </c>
      <c r="AO54">
        <f t="shared" si="1"/>
        <v>0</v>
      </c>
      <c r="AP54" t="s">
        <v>31</v>
      </c>
      <c r="AQ54">
        <f t="shared" si="2"/>
        <v>10.5</v>
      </c>
    </row>
    <row r="55" spans="5:43">
      <c r="E55">
        <v>1</v>
      </c>
      <c r="AO55">
        <f>SUMPRODUCT($B$17:$AN$17,B55:AN55)</f>
        <v>0</v>
      </c>
      <c r="AP55" t="s">
        <v>31</v>
      </c>
      <c r="AQ55">
        <v>0</v>
      </c>
    </row>
    <row r="56" spans="5:43">
      <c r="M56">
        <v>1</v>
      </c>
      <c r="AO56">
        <f t="shared" ref="AO56:AO57" si="3">SUMPRODUCT($B$17:$AN$17,B56:AN56)</f>
        <v>0</v>
      </c>
      <c r="AP56" t="s">
        <v>31</v>
      </c>
      <c r="AQ56">
        <v>0</v>
      </c>
    </row>
    <row r="57" spans="5:43">
      <c r="O57">
        <v>1</v>
      </c>
      <c r="AO57">
        <f>SUMPRODUCT($B$17:$AN$17,B57:AN57)</f>
        <v>0</v>
      </c>
      <c r="AP57" t="s">
        <v>31</v>
      </c>
      <c r="AQ57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3:AT60"/>
  <sheetViews>
    <sheetView workbookViewId="0">
      <selection activeCell="AV52" sqref="AV52"/>
    </sheetView>
  </sheetViews>
  <sheetFormatPr baseColWidth="10" defaultRowHeight="15" x14ac:dyDescent="0"/>
  <cols>
    <col min="17" max="17" width="12.1640625" bestFit="1" customWidth="1"/>
  </cols>
  <sheetData>
    <row r="3" spans="2:44">
      <c r="H3" t="s">
        <v>5</v>
      </c>
      <c r="J3" s="3"/>
      <c r="K3" s="3" t="s">
        <v>11</v>
      </c>
      <c r="L3" s="3"/>
    </row>
    <row r="4" spans="2:44">
      <c r="B4" t="s">
        <v>0</v>
      </c>
      <c r="C4" t="s">
        <v>1</v>
      </c>
      <c r="D4" t="s">
        <v>2</v>
      </c>
      <c r="E4" t="s">
        <v>3</v>
      </c>
      <c r="F4" t="s">
        <v>4</v>
      </c>
      <c r="G4" t="s">
        <v>6</v>
      </c>
      <c r="H4" t="s">
        <v>7</v>
      </c>
      <c r="I4" t="s">
        <v>8</v>
      </c>
      <c r="J4" s="3" t="s">
        <v>6</v>
      </c>
      <c r="K4" s="3" t="s">
        <v>7</v>
      </c>
      <c r="L4" s="3" t="s">
        <v>8</v>
      </c>
    </row>
    <row r="5" spans="2:44">
      <c r="B5">
        <v>1</v>
      </c>
      <c r="C5">
        <v>450</v>
      </c>
      <c r="D5">
        <v>0.32</v>
      </c>
      <c r="E5">
        <v>0.38</v>
      </c>
      <c r="F5">
        <v>0.3</v>
      </c>
      <c r="G5">
        <v>300</v>
      </c>
      <c r="H5">
        <v>0</v>
      </c>
      <c r="I5">
        <v>700</v>
      </c>
      <c r="J5" t="s">
        <v>12</v>
      </c>
      <c r="K5" t="s">
        <v>13</v>
      </c>
      <c r="L5" t="s">
        <v>14</v>
      </c>
    </row>
    <row r="6" spans="2:44">
      <c r="B6">
        <v>2</v>
      </c>
      <c r="C6">
        <v>600</v>
      </c>
      <c r="D6">
        <v>0.37</v>
      </c>
      <c r="E6">
        <v>0.28000000000000003</v>
      </c>
      <c r="F6">
        <v>0.35</v>
      </c>
      <c r="G6" s="1" t="s">
        <v>9</v>
      </c>
      <c r="H6">
        <v>400</v>
      </c>
      <c r="I6">
        <v>500</v>
      </c>
      <c r="K6" t="s">
        <v>15</v>
      </c>
      <c r="L6" t="s">
        <v>16</v>
      </c>
    </row>
    <row r="7" spans="2:44">
      <c r="B7">
        <v>3</v>
      </c>
      <c r="C7">
        <v>550</v>
      </c>
      <c r="D7">
        <v>0.3</v>
      </c>
      <c r="E7">
        <v>0.32</v>
      </c>
      <c r="F7">
        <v>0.38</v>
      </c>
      <c r="G7">
        <v>600</v>
      </c>
      <c r="H7">
        <v>300</v>
      </c>
      <c r="I7">
        <v>200</v>
      </c>
      <c r="J7" t="s">
        <v>17</v>
      </c>
      <c r="K7" t="s">
        <v>12</v>
      </c>
      <c r="L7" t="s">
        <v>18</v>
      </c>
    </row>
    <row r="8" spans="2:44">
      <c r="B8">
        <v>4</v>
      </c>
      <c r="C8">
        <v>350</v>
      </c>
      <c r="D8">
        <v>0.28000000000000003</v>
      </c>
      <c r="E8">
        <v>0.4</v>
      </c>
      <c r="F8">
        <v>0.32</v>
      </c>
      <c r="G8">
        <v>200</v>
      </c>
      <c r="H8">
        <v>500</v>
      </c>
      <c r="I8" s="1" t="s">
        <v>9</v>
      </c>
      <c r="J8" t="s">
        <v>18</v>
      </c>
      <c r="K8" t="s">
        <v>16</v>
      </c>
    </row>
    <row r="9" spans="2:44">
      <c r="B9">
        <v>5</v>
      </c>
      <c r="C9">
        <v>500</v>
      </c>
      <c r="D9">
        <v>0.39</v>
      </c>
      <c r="E9">
        <v>0.34</v>
      </c>
      <c r="F9">
        <v>0.27</v>
      </c>
      <c r="G9">
        <v>0</v>
      </c>
      <c r="H9" s="1" t="s">
        <v>9</v>
      </c>
      <c r="I9">
        <v>400</v>
      </c>
      <c r="J9" t="s">
        <v>13</v>
      </c>
      <c r="L9" t="s">
        <v>15</v>
      </c>
    </row>
    <row r="10" spans="2:44">
      <c r="B10">
        <v>6</v>
      </c>
      <c r="C10">
        <v>450</v>
      </c>
      <c r="D10">
        <v>0.34</v>
      </c>
      <c r="E10">
        <v>0.28000000000000003</v>
      </c>
      <c r="F10">
        <v>0.38</v>
      </c>
      <c r="G10">
        <v>500</v>
      </c>
      <c r="H10">
        <v>300</v>
      </c>
      <c r="I10">
        <v>0</v>
      </c>
      <c r="J10" t="s">
        <v>16</v>
      </c>
      <c r="K10" t="s">
        <v>12</v>
      </c>
      <c r="L10" t="s">
        <v>13</v>
      </c>
    </row>
    <row r="11" spans="2:44">
      <c r="F11" t="s">
        <v>10</v>
      </c>
      <c r="G11" s="2">
        <v>900</v>
      </c>
      <c r="H11" s="2">
        <v>1100</v>
      </c>
      <c r="I11" s="2">
        <v>1100</v>
      </c>
    </row>
    <row r="14" spans="2:44">
      <c r="C14" t="s">
        <v>19</v>
      </c>
      <c r="F14" t="s">
        <v>20</v>
      </c>
      <c r="I14" t="s">
        <v>21</v>
      </c>
      <c r="L14" t="s">
        <v>22</v>
      </c>
      <c r="O14" t="s">
        <v>23</v>
      </c>
      <c r="R14" t="s">
        <v>24</v>
      </c>
      <c r="U14" t="s">
        <v>6</v>
      </c>
      <c r="X14" t="s">
        <v>7</v>
      </c>
      <c r="AA14" t="s">
        <v>8</v>
      </c>
    </row>
    <row r="15" spans="2:44">
      <c r="B15" t="s">
        <v>6</v>
      </c>
      <c r="C15" t="s">
        <v>7</v>
      </c>
      <c r="D15" t="s">
        <v>8</v>
      </c>
      <c r="E15" t="s">
        <v>6</v>
      </c>
      <c r="F15" t="s">
        <v>7</v>
      </c>
      <c r="G15" t="s">
        <v>8</v>
      </c>
      <c r="H15" t="s">
        <v>6</v>
      </c>
      <c r="I15" t="s">
        <v>7</v>
      </c>
      <c r="J15" t="s">
        <v>8</v>
      </c>
      <c r="K15" t="s">
        <v>6</v>
      </c>
      <c r="L15" t="s">
        <v>7</v>
      </c>
      <c r="M15" t="s">
        <v>8</v>
      </c>
      <c r="N15" t="s">
        <v>6</v>
      </c>
      <c r="O15" t="s">
        <v>7</v>
      </c>
      <c r="P15" t="s">
        <v>8</v>
      </c>
      <c r="Q15" t="s">
        <v>6</v>
      </c>
      <c r="R15" t="s">
        <v>7</v>
      </c>
      <c r="S15" t="s">
        <v>8</v>
      </c>
      <c r="T15" t="s">
        <v>25</v>
      </c>
      <c r="U15" t="s">
        <v>26</v>
      </c>
      <c r="V15" t="s">
        <v>27</v>
      </c>
      <c r="W15" t="s">
        <v>25</v>
      </c>
      <c r="X15" t="s">
        <v>26</v>
      </c>
      <c r="Y15" t="s">
        <v>27</v>
      </c>
      <c r="Z15" t="s">
        <v>25</v>
      </c>
      <c r="AA15" t="s">
        <v>26</v>
      </c>
      <c r="AB15" t="s">
        <v>27</v>
      </c>
      <c r="AC15" t="s">
        <v>32</v>
      </c>
      <c r="AD15" t="s">
        <v>33</v>
      </c>
      <c r="AE15" t="s">
        <v>32</v>
      </c>
      <c r="AF15" t="s">
        <v>33</v>
      </c>
      <c r="AG15" t="s">
        <v>34</v>
      </c>
      <c r="AH15" t="s">
        <v>35</v>
      </c>
      <c r="AI15" t="s">
        <v>34</v>
      </c>
      <c r="AJ15" t="s">
        <v>35</v>
      </c>
      <c r="AK15" t="s">
        <v>36</v>
      </c>
      <c r="AL15" t="s">
        <v>37</v>
      </c>
      <c r="AM15" t="s">
        <v>34</v>
      </c>
      <c r="AN15" t="s">
        <v>35</v>
      </c>
    </row>
    <row r="16" spans="2:44">
      <c r="B16">
        <f>300*450</f>
        <v>135000</v>
      </c>
      <c r="C16">
        <v>0</v>
      </c>
      <c r="D16">
        <f>700*450</f>
        <v>315000</v>
      </c>
      <c r="E16" s="1">
        <v>0</v>
      </c>
      <c r="F16">
        <f>400*600</f>
        <v>240000</v>
      </c>
      <c r="G16">
        <f>500*600</f>
        <v>300000</v>
      </c>
      <c r="H16">
        <f>600*550</f>
        <v>330000</v>
      </c>
      <c r="I16">
        <f>300*550</f>
        <v>165000</v>
      </c>
      <c r="J16">
        <f>200*550</f>
        <v>110000</v>
      </c>
      <c r="K16">
        <f>200*350</f>
        <v>70000</v>
      </c>
      <c r="L16">
        <f>500*350</f>
        <v>175000</v>
      </c>
      <c r="M16" s="1">
        <v>0</v>
      </c>
      <c r="N16">
        <v>0</v>
      </c>
      <c r="O16" s="1">
        <v>0</v>
      </c>
      <c r="P16">
        <f>400*500</f>
        <v>200000</v>
      </c>
      <c r="Q16">
        <f>500*450</f>
        <v>225000</v>
      </c>
      <c r="R16">
        <f>300*450</f>
        <v>135000</v>
      </c>
      <c r="S16">
        <v>0</v>
      </c>
      <c r="AC16">
        <f>$AT$22</f>
        <v>1000000</v>
      </c>
      <c r="AD16">
        <f t="shared" ref="AD16:AN16" si="0">$AT$22</f>
        <v>1000000</v>
      </c>
      <c r="AE16">
        <f t="shared" si="0"/>
        <v>1000000</v>
      </c>
      <c r="AF16">
        <f t="shared" si="0"/>
        <v>1000000</v>
      </c>
      <c r="AG16">
        <f t="shared" si="0"/>
        <v>1000000</v>
      </c>
      <c r="AH16">
        <f t="shared" si="0"/>
        <v>1000000</v>
      </c>
      <c r="AI16">
        <f t="shared" si="0"/>
        <v>1000000</v>
      </c>
      <c r="AJ16">
        <f t="shared" si="0"/>
        <v>1000000</v>
      </c>
      <c r="AK16">
        <f t="shared" si="0"/>
        <v>1000000</v>
      </c>
      <c r="AL16">
        <f t="shared" si="0"/>
        <v>1000000</v>
      </c>
      <c r="AM16">
        <f t="shared" si="0"/>
        <v>1000000</v>
      </c>
      <c r="AN16">
        <f t="shared" si="0"/>
        <v>1000000</v>
      </c>
      <c r="AP16" t="s">
        <v>30</v>
      </c>
      <c r="AR16">
        <f>AP17-SUMPRODUCT(AC17:AN17,AC16:AN16)</f>
        <v>743705.88235294074</v>
      </c>
    </row>
    <row r="17" spans="2:46">
      <c r="B17" s="4">
        <v>0</v>
      </c>
      <c r="C17" s="4">
        <v>1</v>
      </c>
      <c r="D17" s="4">
        <v>0</v>
      </c>
      <c r="E17" s="4">
        <v>0</v>
      </c>
      <c r="F17" s="4">
        <v>0.97777777777772801</v>
      </c>
      <c r="G17" s="4">
        <v>2.2222222222271697E-2</v>
      </c>
      <c r="H17" s="4">
        <v>0</v>
      </c>
      <c r="I17" s="4">
        <v>0</v>
      </c>
      <c r="J17" s="4">
        <v>0.99999999999999967</v>
      </c>
      <c r="K17" s="4">
        <v>0.81904761904757994</v>
      </c>
      <c r="L17" s="4">
        <v>0.18095238095242033</v>
      </c>
      <c r="M17" s="4">
        <v>0</v>
      </c>
      <c r="N17" s="4">
        <v>0.45176470588238249</v>
      </c>
      <c r="O17" s="4">
        <v>0</v>
      </c>
      <c r="P17" s="4">
        <v>0.54823529411761707</v>
      </c>
      <c r="Q17" s="4">
        <v>0.86100217864923478</v>
      </c>
      <c r="R17" s="4">
        <v>0</v>
      </c>
      <c r="S17" s="4">
        <v>0.13899782135076497</v>
      </c>
      <c r="T17" s="4">
        <v>300.09411764706033</v>
      </c>
      <c r="U17" s="4">
        <v>299.95294117646972</v>
      </c>
      <c r="V17" s="4">
        <v>299.95294117646966</v>
      </c>
      <c r="W17" s="4">
        <v>378.79999999999939</v>
      </c>
      <c r="X17" s="4">
        <v>360.60000000000019</v>
      </c>
      <c r="Y17" s="4">
        <v>360.60000000000014</v>
      </c>
      <c r="Z17" s="4">
        <v>298.10588235294586</v>
      </c>
      <c r="AA17" s="4">
        <v>290.44705882353242</v>
      </c>
      <c r="AB17" s="4">
        <v>311.44705882353543</v>
      </c>
      <c r="AC17" s="4">
        <v>0</v>
      </c>
      <c r="AD17" s="4">
        <v>0.14117647059060115</v>
      </c>
      <c r="AE17" s="4">
        <v>0</v>
      </c>
      <c r="AF17" s="4">
        <v>0</v>
      </c>
      <c r="AG17" s="4">
        <v>0</v>
      </c>
      <c r="AH17" s="4">
        <v>18.199999999999175</v>
      </c>
      <c r="AI17" s="4">
        <v>0</v>
      </c>
      <c r="AJ17" s="4">
        <v>0</v>
      </c>
      <c r="AK17" s="4">
        <v>0</v>
      </c>
      <c r="AL17" s="4">
        <v>7.6588235294135245</v>
      </c>
      <c r="AM17" s="4">
        <v>21.000000000003102</v>
      </c>
      <c r="AN17" s="4">
        <v>0</v>
      </c>
      <c r="AP17" s="5">
        <f>SUMPRODUCT(B16:AN16,B17:AN17)</f>
        <v>47743705.882359348</v>
      </c>
    </row>
    <row r="18" spans="2:46">
      <c r="AO18" t="s">
        <v>28</v>
      </c>
    </row>
    <row r="19" spans="2:46">
      <c r="B19">
        <v>1</v>
      </c>
      <c r="C19">
        <v>1</v>
      </c>
      <c r="D19">
        <v>1</v>
      </c>
      <c r="AO19">
        <f>SUMPRODUCT($B$17:$AN$17,B19:AN19)</f>
        <v>1</v>
      </c>
      <c r="AP19" t="s">
        <v>29</v>
      </c>
      <c r="AQ19">
        <v>1</v>
      </c>
    </row>
    <row r="20" spans="2:46">
      <c r="E20">
        <v>1</v>
      </c>
      <c r="F20">
        <v>1</v>
      </c>
      <c r="G20">
        <v>1</v>
      </c>
      <c r="AO20">
        <f t="shared" ref="AO20:AO41" si="1">SUMPRODUCT($B$17:$AN$17,B20:AN20)</f>
        <v>0.99999999999999967</v>
      </c>
      <c r="AP20" t="s">
        <v>29</v>
      </c>
      <c r="AQ20">
        <v>1</v>
      </c>
    </row>
    <row r="21" spans="2:46">
      <c r="H21">
        <v>1</v>
      </c>
      <c r="I21">
        <v>1</v>
      </c>
      <c r="J21">
        <v>1</v>
      </c>
      <c r="AO21">
        <f t="shared" si="1"/>
        <v>0.99999999999999967</v>
      </c>
      <c r="AP21" t="s">
        <v>29</v>
      </c>
      <c r="AQ21">
        <v>1</v>
      </c>
      <c r="AT21" t="s">
        <v>39</v>
      </c>
    </row>
    <row r="22" spans="2:46">
      <c r="K22">
        <v>1</v>
      </c>
      <c r="L22">
        <v>1</v>
      </c>
      <c r="M22">
        <v>1</v>
      </c>
      <c r="AO22">
        <f t="shared" si="1"/>
        <v>1.0000000000000002</v>
      </c>
      <c r="AP22" t="s">
        <v>29</v>
      </c>
      <c r="AQ22">
        <v>1</v>
      </c>
      <c r="AT22">
        <v>1000000</v>
      </c>
    </row>
    <row r="23" spans="2:46">
      <c r="N23">
        <v>1</v>
      </c>
      <c r="O23">
        <v>1</v>
      </c>
      <c r="P23">
        <v>1</v>
      </c>
      <c r="AO23">
        <f t="shared" si="1"/>
        <v>0.99999999999999956</v>
      </c>
      <c r="AP23" t="s">
        <v>29</v>
      </c>
      <c r="AQ23">
        <v>1</v>
      </c>
    </row>
    <row r="24" spans="2:46">
      <c r="Q24">
        <v>1</v>
      </c>
      <c r="R24">
        <v>1</v>
      </c>
      <c r="S24">
        <v>1</v>
      </c>
      <c r="AO24">
        <f t="shared" si="1"/>
        <v>0.99999999999999978</v>
      </c>
      <c r="AP24" t="s">
        <v>29</v>
      </c>
      <c r="AQ24">
        <v>1</v>
      </c>
    </row>
    <row r="25" spans="2:46">
      <c r="B25">
        <v>450</v>
      </c>
      <c r="E25">
        <v>600</v>
      </c>
      <c r="H25">
        <v>550</v>
      </c>
      <c r="K25">
        <v>350</v>
      </c>
      <c r="N25">
        <v>500</v>
      </c>
      <c r="Q25">
        <v>450</v>
      </c>
      <c r="AO25">
        <f t="shared" si="1"/>
        <v>899.99999999999989</v>
      </c>
      <c r="AP25" t="s">
        <v>31</v>
      </c>
      <c r="AQ25">
        <v>900</v>
      </c>
    </row>
    <row r="26" spans="2:46">
      <c r="C26">
        <v>450</v>
      </c>
      <c r="F26">
        <v>600</v>
      </c>
      <c r="I26">
        <v>550</v>
      </c>
      <c r="L26">
        <v>350</v>
      </c>
      <c r="O26">
        <v>500</v>
      </c>
      <c r="R26">
        <v>450</v>
      </c>
      <c r="AO26">
        <f t="shared" si="1"/>
        <v>1099.9999999999841</v>
      </c>
      <c r="AP26" t="s">
        <v>31</v>
      </c>
      <c r="AQ26">
        <v>1100</v>
      </c>
    </row>
    <row r="27" spans="2:46">
      <c r="D27">
        <v>450</v>
      </c>
      <c r="G27">
        <v>600</v>
      </c>
      <c r="J27">
        <v>550</v>
      </c>
      <c r="M27">
        <v>350</v>
      </c>
      <c r="P27">
        <v>500</v>
      </c>
      <c r="S27">
        <v>450</v>
      </c>
      <c r="AO27">
        <f t="shared" si="1"/>
        <v>900.00000000001558</v>
      </c>
      <c r="AP27" t="s">
        <v>31</v>
      </c>
      <c r="AQ27">
        <v>1100</v>
      </c>
    </row>
    <row r="28" spans="2:46">
      <c r="B28">
        <f>$C$5*D5</f>
        <v>144</v>
      </c>
      <c r="E28">
        <f>$C$6*D6</f>
        <v>222</v>
      </c>
      <c r="H28">
        <f>$C$7*D7</f>
        <v>165</v>
      </c>
      <c r="K28">
        <f>$C$8*D8</f>
        <v>98.000000000000014</v>
      </c>
      <c r="N28">
        <f>$C$9*D9</f>
        <v>195</v>
      </c>
      <c r="Q28">
        <f>$C$10*D10</f>
        <v>153</v>
      </c>
      <c r="T28">
        <v>-1</v>
      </c>
      <c r="AO28">
        <f t="shared" si="1"/>
        <v>0</v>
      </c>
      <c r="AP28" t="s">
        <v>29</v>
      </c>
      <c r="AQ28">
        <v>0</v>
      </c>
    </row>
    <row r="29" spans="2:46">
      <c r="B29">
        <f>$C$5*E5</f>
        <v>171</v>
      </c>
      <c r="E29">
        <f>$C$6*E6</f>
        <v>168.00000000000003</v>
      </c>
      <c r="H29">
        <f>$C$7*E7</f>
        <v>176</v>
      </c>
      <c r="K29">
        <f>$C$8*E8</f>
        <v>140</v>
      </c>
      <c r="N29">
        <f>$C$9*E9</f>
        <v>170</v>
      </c>
      <c r="Q29">
        <f>$C$10*E10</f>
        <v>126.00000000000001</v>
      </c>
      <c r="U29">
        <v>-1</v>
      </c>
      <c r="AO29">
        <f t="shared" si="1"/>
        <v>1.1368683772161603E-13</v>
      </c>
      <c r="AP29" t="s">
        <v>29</v>
      </c>
      <c r="AQ29">
        <v>0</v>
      </c>
    </row>
    <row r="30" spans="2:46">
      <c r="B30">
        <f>$C$5*F5</f>
        <v>135</v>
      </c>
      <c r="E30">
        <f>$C$6*F6</f>
        <v>210</v>
      </c>
      <c r="H30">
        <f>$C$7*F7</f>
        <v>209</v>
      </c>
      <c r="K30">
        <f>$C$8*F8</f>
        <v>112</v>
      </c>
      <c r="N30">
        <f>$C$9*F9</f>
        <v>135</v>
      </c>
      <c r="Q30">
        <f>$C$10*F10</f>
        <v>171</v>
      </c>
      <c r="V30">
        <v>-1</v>
      </c>
      <c r="AO30">
        <f t="shared" si="1"/>
        <v>5.6843418860808015E-14</v>
      </c>
      <c r="AP30" t="s">
        <v>29</v>
      </c>
      <c r="AQ30">
        <v>0</v>
      </c>
    </row>
    <row r="31" spans="2:46">
      <c r="C31">
        <v>144</v>
      </c>
      <c r="F31">
        <v>222</v>
      </c>
      <c r="I31">
        <v>165</v>
      </c>
      <c r="L31">
        <v>98.000000000000014</v>
      </c>
      <c r="O31">
        <v>195</v>
      </c>
      <c r="R31">
        <v>153</v>
      </c>
      <c r="W31">
        <v>-1</v>
      </c>
      <c r="AO31">
        <f t="shared" si="1"/>
        <v>-6.5938365878537297E-12</v>
      </c>
      <c r="AP31" t="s">
        <v>29</v>
      </c>
      <c r="AQ31">
        <v>0</v>
      </c>
    </row>
    <row r="32" spans="2:46">
      <c r="C32">
        <v>171</v>
      </c>
      <c r="F32">
        <v>168.00000000000003</v>
      </c>
      <c r="I32">
        <v>176</v>
      </c>
      <c r="L32">
        <v>140</v>
      </c>
      <c r="O32">
        <v>170</v>
      </c>
      <c r="R32">
        <v>126.00000000000001</v>
      </c>
      <c r="X32">
        <v>-1</v>
      </c>
      <c r="AO32">
        <f t="shared" si="1"/>
        <v>-3.0127011996228248E-12</v>
      </c>
      <c r="AP32" t="s">
        <v>29</v>
      </c>
      <c r="AQ32">
        <v>0</v>
      </c>
    </row>
    <row r="33" spans="3:43">
      <c r="C33">
        <v>135</v>
      </c>
      <c r="F33">
        <v>210</v>
      </c>
      <c r="I33">
        <v>209</v>
      </c>
      <c r="L33">
        <v>112</v>
      </c>
      <c r="O33">
        <v>135</v>
      </c>
      <c r="R33">
        <v>171</v>
      </c>
      <c r="Y33">
        <v>-1</v>
      </c>
      <c r="AO33">
        <f t="shared" si="1"/>
        <v>-6.1390892369672656E-12</v>
      </c>
      <c r="AP33" t="s">
        <v>29</v>
      </c>
      <c r="AQ33">
        <v>0</v>
      </c>
    </row>
    <row r="34" spans="3:43">
      <c r="D34">
        <v>144</v>
      </c>
      <c r="G34">
        <v>222</v>
      </c>
      <c r="J34">
        <v>165</v>
      </c>
      <c r="M34">
        <v>98.000000000000014</v>
      </c>
      <c r="P34">
        <v>195</v>
      </c>
      <c r="S34">
        <v>153</v>
      </c>
      <c r="Z34">
        <v>-1</v>
      </c>
      <c r="AO34">
        <f t="shared" si="1"/>
        <v>7.3896444519050419E-13</v>
      </c>
      <c r="AP34" t="s">
        <v>29</v>
      </c>
      <c r="AQ34">
        <v>0</v>
      </c>
    </row>
    <row r="35" spans="3:43">
      <c r="D35">
        <v>171</v>
      </c>
      <c r="G35">
        <v>168.00000000000003</v>
      </c>
      <c r="J35">
        <v>176</v>
      </c>
      <c r="M35">
        <v>140</v>
      </c>
      <c r="P35">
        <v>170</v>
      </c>
      <c r="S35">
        <v>126.00000000000001</v>
      </c>
      <c r="AA35">
        <v>-1</v>
      </c>
      <c r="AO35">
        <f t="shared" si="1"/>
        <v>4.5474735088646412E-13</v>
      </c>
      <c r="AP35" t="s">
        <v>29</v>
      </c>
      <c r="AQ35">
        <v>0</v>
      </c>
    </row>
    <row r="36" spans="3:43">
      <c r="D36">
        <v>135</v>
      </c>
      <c r="G36">
        <v>210</v>
      </c>
      <c r="J36">
        <v>209</v>
      </c>
      <c r="M36">
        <v>112</v>
      </c>
      <c r="P36">
        <v>135</v>
      </c>
      <c r="S36">
        <v>171</v>
      </c>
      <c r="AB36">
        <v>-1</v>
      </c>
      <c r="AO36">
        <f t="shared" si="1"/>
        <v>7.3896444519050419E-13</v>
      </c>
      <c r="AP36" t="s">
        <v>29</v>
      </c>
      <c r="AQ36">
        <v>0</v>
      </c>
    </row>
    <row r="37" spans="3:43">
      <c r="T37">
        <v>1</v>
      </c>
      <c r="U37">
        <v>-1</v>
      </c>
      <c r="AC37">
        <v>1</v>
      </c>
      <c r="AD37">
        <v>-1</v>
      </c>
      <c r="AO37">
        <f t="shared" si="1"/>
        <v>6.8556271770603416E-15</v>
      </c>
      <c r="AP37" t="s">
        <v>29</v>
      </c>
      <c r="AQ37">
        <v>0</v>
      </c>
    </row>
    <row r="38" spans="3:43">
      <c r="U38">
        <v>1</v>
      </c>
      <c r="V38">
        <v>-1</v>
      </c>
      <c r="AE38">
        <v>1</v>
      </c>
      <c r="AF38">
        <v>-1</v>
      </c>
      <c r="AO38">
        <f t="shared" si="1"/>
        <v>5.6843418860808015E-14</v>
      </c>
      <c r="AP38" t="s">
        <v>29</v>
      </c>
      <c r="AQ38">
        <v>0</v>
      </c>
    </row>
    <row r="39" spans="3:43">
      <c r="W39">
        <v>1</v>
      </c>
      <c r="X39">
        <v>-1</v>
      </c>
      <c r="AG39">
        <v>1</v>
      </c>
      <c r="AH39">
        <v>-1</v>
      </c>
      <c r="AO39">
        <f t="shared" si="1"/>
        <v>1.7763568394002505E-14</v>
      </c>
      <c r="AP39" t="s">
        <v>29</v>
      </c>
      <c r="AQ39">
        <v>0</v>
      </c>
    </row>
    <row r="40" spans="3:43">
      <c r="X40">
        <v>1</v>
      </c>
      <c r="Y40">
        <v>-1</v>
      </c>
      <c r="AI40">
        <v>1</v>
      </c>
      <c r="AJ40">
        <v>-1</v>
      </c>
      <c r="AO40">
        <f t="shared" si="1"/>
        <v>5.6843418860808015E-14</v>
      </c>
      <c r="AP40" t="s">
        <v>29</v>
      </c>
      <c r="AQ40">
        <v>0</v>
      </c>
    </row>
    <row r="41" spans="3:43">
      <c r="Z41">
        <v>1</v>
      </c>
      <c r="AA41">
        <v>-1</v>
      </c>
      <c r="AK41">
        <v>1</v>
      </c>
      <c r="AL41">
        <v>-1</v>
      </c>
      <c r="AO41">
        <f t="shared" si="1"/>
        <v>-8.5265128291212022E-14</v>
      </c>
      <c r="AP41" t="s">
        <v>29</v>
      </c>
      <c r="AQ41">
        <v>0</v>
      </c>
    </row>
    <row r="42" spans="3:43">
      <c r="AA42">
        <v>1</v>
      </c>
      <c r="AB42">
        <v>-1</v>
      </c>
      <c r="AM42">
        <v>1</v>
      </c>
      <c r="AN42">
        <v>-1</v>
      </c>
      <c r="AO42">
        <f>SUMPRODUCT($B$17:$AN$17,B42:AN42)</f>
        <v>8.8817841970012523E-14</v>
      </c>
      <c r="AP42" t="s">
        <v>29</v>
      </c>
      <c r="AQ42">
        <v>0</v>
      </c>
    </row>
    <row r="43" spans="3:43">
      <c r="E43">
        <v>1</v>
      </c>
      <c r="AO43">
        <f t="shared" ref="AO43:AO44" si="2">SUMPRODUCT($B$17:$AN$17,B43:AN43)</f>
        <v>0</v>
      </c>
      <c r="AP43" t="s">
        <v>31</v>
      </c>
      <c r="AQ43">
        <v>0</v>
      </c>
    </row>
    <row r="44" spans="3:43">
      <c r="M44">
        <v>1</v>
      </c>
      <c r="AO44">
        <f t="shared" si="2"/>
        <v>0</v>
      </c>
      <c r="AP44" t="s">
        <v>31</v>
      </c>
      <c r="AQ44">
        <v>0</v>
      </c>
    </row>
    <row r="45" spans="3:43">
      <c r="O45">
        <v>1</v>
      </c>
      <c r="AO45">
        <f>SUMPRODUCT($B$17:$AN$17,B45:AN45)</f>
        <v>0</v>
      </c>
      <c r="AP45" t="s">
        <v>31</v>
      </c>
      <c r="AQ45">
        <v>0</v>
      </c>
    </row>
    <row r="52" spans="17:22">
      <c r="Q52" s="2" t="s">
        <v>40</v>
      </c>
      <c r="R52" t="s">
        <v>41</v>
      </c>
      <c r="S52" t="s">
        <v>42</v>
      </c>
      <c r="T52" t="s">
        <v>43</v>
      </c>
      <c r="U52" t="s">
        <v>44</v>
      </c>
      <c r="V52" t="s">
        <v>45</v>
      </c>
    </row>
    <row r="53" spans="17:22">
      <c r="Q53" s="2">
        <v>0</v>
      </c>
      <c r="R53">
        <v>0</v>
      </c>
      <c r="S53">
        <v>77.99999999999946</v>
      </c>
      <c r="T53">
        <v>17.250000000000437</v>
      </c>
      <c r="U53">
        <v>6</v>
      </c>
      <c r="V53">
        <v>420000</v>
      </c>
    </row>
    <row r="54" spans="17:22">
      <c r="Q54" s="2">
        <v>10</v>
      </c>
      <c r="R54">
        <v>0</v>
      </c>
      <c r="S54">
        <v>77.99999999999946</v>
      </c>
      <c r="T54">
        <v>17.250000000000437</v>
      </c>
      <c r="U54">
        <v>6</v>
      </c>
      <c r="V54">
        <v>420000.00000000006</v>
      </c>
    </row>
    <row r="55" spans="17:22">
      <c r="Q55" s="2">
        <v>100</v>
      </c>
      <c r="R55">
        <v>0</v>
      </c>
      <c r="S55">
        <v>77.99999999999946</v>
      </c>
      <c r="T55">
        <v>17.250000000000441</v>
      </c>
      <c r="U55">
        <v>6</v>
      </c>
      <c r="V55">
        <v>420000</v>
      </c>
    </row>
    <row r="56" spans="17:22">
      <c r="Q56" s="2">
        <v>1000</v>
      </c>
      <c r="R56">
        <v>0</v>
      </c>
      <c r="S56">
        <v>77.999999999999517</v>
      </c>
      <c r="T56">
        <v>15.583333333334332</v>
      </c>
      <c r="U56">
        <v>6</v>
      </c>
      <c r="V56">
        <v>434999.99999999523</v>
      </c>
    </row>
    <row r="57" spans="17:22">
      <c r="Q57" s="2">
        <v>10000</v>
      </c>
      <c r="R57">
        <v>0</v>
      </c>
      <c r="S57">
        <v>21.000000000003102</v>
      </c>
      <c r="T57">
        <v>3.9166666666672003</v>
      </c>
      <c r="U57">
        <v>8</v>
      </c>
      <c r="V57">
        <v>743705.88235294167</v>
      </c>
    </row>
    <row r="58" spans="17:22">
      <c r="Q58" s="2">
        <v>100000</v>
      </c>
      <c r="R58">
        <v>0</v>
      </c>
      <c r="S58">
        <v>21.000000000003102</v>
      </c>
      <c r="T58">
        <v>3.9166666666672003</v>
      </c>
      <c r="U58">
        <v>8</v>
      </c>
      <c r="V58">
        <v>743705.88235294074</v>
      </c>
    </row>
    <row r="59" spans="17:22">
      <c r="Q59" s="2">
        <v>1000000</v>
      </c>
      <c r="R59">
        <v>0</v>
      </c>
      <c r="S59">
        <v>21.000000000003102</v>
      </c>
      <c r="T59">
        <v>3.9166666666672003</v>
      </c>
      <c r="U59">
        <v>8</v>
      </c>
      <c r="V59">
        <v>743705.88235294074</v>
      </c>
    </row>
    <row r="60" spans="17:22">
      <c r="Q60" s="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Option 1_NoSolution</vt:lpstr>
      <vt:lpstr>Option 1_Fixed_UB</vt:lpstr>
      <vt:lpstr>Option 1_Fixed_Cost</vt:lpstr>
    </vt:vector>
  </TitlesOfParts>
  <Company>Washington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 Feldman</dc:creator>
  <cp:lastModifiedBy>Jacob Feldman</cp:lastModifiedBy>
  <dcterms:created xsi:type="dcterms:W3CDTF">2015-10-23T17:19:02Z</dcterms:created>
  <dcterms:modified xsi:type="dcterms:W3CDTF">2015-10-26T21:22:47Z</dcterms:modified>
</cp:coreProperties>
</file>